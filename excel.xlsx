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ya\Desktop\Gokul_SalesApp\sales-backend\"/>
    </mc:Choice>
  </mc:AlternateContent>
  <xr:revisionPtr revIDLastSave="0" documentId="13_ncr:1_{243F9F45-4FB2-4955-94CC-064FEED40DB9}" xr6:coauthVersionLast="47" xr6:coauthVersionMax="47" xr10:uidLastSave="{00000000-0000-0000-0000-000000000000}"/>
  <bookViews>
    <workbookView xWindow="-110" yWindow="-110" windowWidth="19420" windowHeight="11020" activeTab="4" xr2:uid="{74D0C457-E23C-44A2-B360-807175F7A3FB}"/>
  </bookViews>
  <sheets>
    <sheet name="HAMA" sheetId="1" r:id="rId1"/>
    <sheet name="RISE" sheetId="5" r:id="rId2"/>
    <sheet name="AVINITY" sheetId="2" r:id="rId3"/>
    <sheet name="URAGE" sheetId="3" r:id="rId4"/>
    <sheet name="XAVAX" sheetId="4" r:id="rId5"/>
  </sheets>
  <definedNames>
    <definedName name="_xlnm._FilterDatabase" localSheetId="0" hidden="1">HAMA!$B$1:$L$445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I5" i="4" s="1"/>
  <c r="J6" i="4"/>
  <c r="I6" i="4" s="1"/>
  <c r="J7" i="4"/>
  <c r="I7" i="4" s="1"/>
  <c r="J8" i="4"/>
  <c r="I8" i="4" s="1"/>
  <c r="J9" i="4"/>
  <c r="I9" i="4" s="1"/>
  <c r="J10" i="4"/>
  <c r="I10" i="4" s="1"/>
  <c r="J11" i="4"/>
  <c r="I11" i="4" s="1"/>
  <c r="J12" i="4"/>
  <c r="I12" i="4" s="1"/>
  <c r="J13" i="4"/>
  <c r="I13" i="4" s="1"/>
  <c r="J14" i="4"/>
  <c r="I14" i="4" s="1"/>
  <c r="J15" i="4"/>
  <c r="I15" i="4" s="1"/>
  <c r="J16" i="4"/>
  <c r="I16" i="4" s="1"/>
  <c r="J17" i="4"/>
  <c r="J18" i="4"/>
  <c r="J19" i="4"/>
  <c r="I19" i="4" s="1"/>
  <c r="J20" i="4"/>
  <c r="I20" i="4" s="1"/>
  <c r="J21" i="4"/>
  <c r="I21" i="4" s="1"/>
  <c r="J22" i="4"/>
  <c r="I22" i="4" s="1"/>
  <c r="J23" i="4"/>
  <c r="I23" i="4" s="1"/>
  <c r="J24" i="4"/>
  <c r="I24" i="4" s="1"/>
  <c r="J25" i="4"/>
  <c r="I25" i="4" s="1"/>
  <c r="J26" i="4"/>
  <c r="I26" i="4" s="1"/>
  <c r="J27" i="4"/>
  <c r="I27" i="4" s="1"/>
  <c r="J28" i="4"/>
  <c r="I28" i="4" s="1"/>
  <c r="J29" i="4"/>
  <c r="I29" i="4" s="1"/>
  <c r="J30" i="4"/>
  <c r="I30" i="4" s="1"/>
  <c r="J31" i="4"/>
  <c r="J32" i="4"/>
  <c r="J33" i="4"/>
  <c r="I33" i="4" s="1"/>
  <c r="J34" i="4"/>
  <c r="I34" i="4" s="1"/>
  <c r="J35" i="4"/>
  <c r="I35" i="4" s="1"/>
  <c r="J36" i="4"/>
  <c r="I36" i="4" s="1"/>
  <c r="J37" i="4"/>
  <c r="I37" i="4" s="1"/>
  <c r="J38" i="4"/>
  <c r="I38" i="4" s="1"/>
  <c r="J39" i="4"/>
  <c r="I39" i="4" s="1"/>
  <c r="J40" i="4"/>
  <c r="I40" i="4" s="1"/>
  <c r="J41" i="4"/>
  <c r="I41" i="4" s="1"/>
  <c r="J42" i="4"/>
  <c r="I42" i="4" s="1"/>
  <c r="J43" i="4"/>
  <c r="I43" i="4" s="1"/>
  <c r="J44" i="4"/>
  <c r="I44" i="4" s="1"/>
  <c r="J45" i="4"/>
  <c r="J46" i="4"/>
  <c r="J47" i="4"/>
  <c r="I47" i="4" s="1"/>
  <c r="J48" i="4"/>
  <c r="I48" i="4" s="1"/>
  <c r="J49" i="4"/>
  <c r="I49" i="4" s="1"/>
  <c r="J50" i="4"/>
  <c r="I50" i="4" s="1"/>
  <c r="J51" i="4"/>
  <c r="I51" i="4" s="1"/>
  <c r="J52" i="4"/>
  <c r="I52" i="4" s="1"/>
  <c r="J53" i="4"/>
  <c r="I53" i="4" s="1"/>
  <c r="J54" i="4"/>
  <c r="I54" i="4" s="1"/>
  <c r="J55" i="4"/>
  <c r="I55" i="4" s="1"/>
  <c r="J56" i="4"/>
  <c r="I56" i="4" s="1"/>
  <c r="J57" i="4"/>
  <c r="I57" i="4" s="1"/>
  <c r="J58" i="4"/>
  <c r="I58" i="4" s="1"/>
  <c r="J59" i="4"/>
  <c r="J60" i="4"/>
  <c r="J61" i="4"/>
  <c r="I61" i="4" s="1"/>
  <c r="J62" i="4"/>
  <c r="I62" i="4" s="1"/>
  <c r="J63" i="4"/>
  <c r="I63" i="4" s="1"/>
  <c r="J64" i="4"/>
  <c r="I64" i="4" s="1"/>
  <c r="J65" i="4"/>
  <c r="I65" i="4" s="1"/>
  <c r="J66" i="4"/>
  <c r="I66" i="4" s="1"/>
  <c r="J67" i="4"/>
  <c r="I67" i="4" s="1"/>
  <c r="J68" i="4"/>
  <c r="I68" i="4" s="1"/>
  <c r="J69" i="4"/>
  <c r="I69" i="4" s="1"/>
  <c r="J2" i="4"/>
  <c r="I3" i="4"/>
  <c r="I4" i="4"/>
  <c r="I17" i="4"/>
  <c r="I18" i="4"/>
  <c r="I31" i="4"/>
  <c r="I32" i="4"/>
  <c r="I45" i="4"/>
  <c r="I46" i="4"/>
  <c r="I59" i="4"/>
  <c r="I60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" i="3"/>
  <c r="I19" i="2"/>
  <c r="J12" i="2"/>
  <c r="J3" i="2"/>
  <c r="J4" i="2"/>
  <c r="J5" i="2"/>
  <c r="J6" i="2"/>
  <c r="I6" i="2" s="1"/>
  <c r="L6" i="2" s="1"/>
  <c r="J7" i="2"/>
  <c r="I7" i="2" s="1"/>
  <c r="L7" i="2" s="1"/>
  <c r="J8" i="2"/>
  <c r="I8" i="2" s="1"/>
  <c r="L8" i="2" s="1"/>
  <c r="J9" i="2"/>
  <c r="J10" i="2"/>
  <c r="J11" i="2"/>
  <c r="F29" i="2"/>
  <c r="J13" i="2"/>
  <c r="I13" i="2" s="1"/>
  <c r="L13" i="2" s="1"/>
  <c r="J14" i="2"/>
  <c r="I14" i="2" s="1"/>
  <c r="L14" i="2" s="1"/>
  <c r="J15" i="2"/>
  <c r="I15" i="2" s="1"/>
  <c r="L15" i="2" s="1"/>
  <c r="J16" i="2"/>
  <c r="I16" i="2" s="1"/>
  <c r="L16" i="2" s="1"/>
  <c r="J17" i="2"/>
  <c r="J18" i="2"/>
  <c r="J19" i="2"/>
  <c r="J20" i="2"/>
  <c r="I20" i="2" s="1"/>
  <c r="L20" i="2" s="1"/>
  <c r="J21" i="2"/>
  <c r="I21" i="2" s="1"/>
  <c r="L21" i="2" s="1"/>
  <c r="J22" i="2"/>
  <c r="I22" i="2" s="1"/>
  <c r="L22" i="2" s="1"/>
  <c r="J23" i="2"/>
  <c r="J24" i="2"/>
  <c r="J25" i="2"/>
  <c r="J2" i="2"/>
  <c r="J2" i="5"/>
  <c r="I2" i="5" s="1"/>
  <c r="I488" i="1"/>
  <c r="I489" i="1"/>
  <c r="L489" i="1" s="1"/>
  <c r="I491" i="1"/>
  <c r="L491" i="1" s="1"/>
  <c r="I492" i="1"/>
  <c r="I493" i="1"/>
  <c r="I494" i="1"/>
  <c r="L494" i="1" s="1"/>
  <c r="J467" i="1"/>
  <c r="I467" i="1" s="1"/>
  <c r="L467" i="1" s="1"/>
  <c r="J468" i="1"/>
  <c r="I468" i="1" s="1"/>
  <c r="L468" i="1" s="1"/>
  <c r="J469" i="1"/>
  <c r="I469" i="1" s="1"/>
  <c r="L469" i="1" s="1"/>
  <c r="J470" i="1"/>
  <c r="I470" i="1" s="1"/>
  <c r="L470" i="1" s="1"/>
  <c r="J471" i="1"/>
  <c r="I471" i="1" s="1"/>
  <c r="L471" i="1" s="1"/>
  <c r="J472" i="1"/>
  <c r="I472" i="1" s="1"/>
  <c r="J473" i="1"/>
  <c r="I473" i="1" s="1"/>
  <c r="L473" i="1" s="1"/>
  <c r="J474" i="1"/>
  <c r="I474" i="1" s="1"/>
  <c r="J475" i="1"/>
  <c r="I475" i="1" s="1"/>
  <c r="J476" i="1"/>
  <c r="I476" i="1" s="1"/>
  <c r="L476" i="1" s="1"/>
  <c r="J477" i="1"/>
  <c r="I477" i="1" s="1"/>
  <c r="J478" i="1"/>
  <c r="I478" i="1" s="1"/>
  <c r="J479" i="1"/>
  <c r="I479" i="1" s="1"/>
  <c r="J480" i="1"/>
  <c r="I480" i="1" s="1"/>
  <c r="J481" i="1"/>
  <c r="I481" i="1" s="1"/>
  <c r="L481" i="1" s="1"/>
  <c r="J482" i="1"/>
  <c r="I482" i="1" s="1"/>
  <c r="L482" i="1" s="1"/>
  <c r="J483" i="1"/>
  <c r="J484" i="1"/>
  <c r="I484" i="1" s="1"/>
  <c r="L484" i="1" s="1"/>
  <c r="J485" i="1"/>
  <c r="I485" i="1" s="1"/>
  <c r="L485" i="1" s="1"/>
  <c r="J486" i="1"/>
  <c r="I486" i="1" s="1"/>
  <c r="J487" i="1"/>
  <c r="J488" i="1"/>
  <c r="J489" i="1"/>
  <c r="J490" i="1"/>
  <c r="I490" i="1" s="1"/>
  <c r="J491" i="1"/>
  <c r="J492" i="1"/>
  <c r="J493" i="1"/>
  <c r="J494" i="1"/>
  <c r="I447" i="1"/>
  <c r="I448" i="1"/>
  <c r="I449" i="1"/>
  <c r="I450" i="1"/>
  <c r="I451" i="1"/>
  <c r="L451" i="1" s="1"/>
  <c r="I452" i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I459" i="1"/>
  <c r="I460" i="1"/>
  <c r="I461" i="1"/>
  <c r="I462" i="1"/>
  <c r="I463" i="1"/>
  <c r="I464" i="1"/>
  <c r="I465" i="1"/>
  <c r="I466" i="1"/>
  <c r="J447" i="1"/>
  <c r="J448" i="1"/>
  <c r="J449" i="1"/>
  <c r="J450" i="1"/>
  <c r="J451" i="1"/>
  <c r="J452" i="1"/>
  <c r="L452" i="1" s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3" i="1"/>
  <c r="J4" i="1"/>
  <c r="J5" i="1"/>
  <c r="J6" i="1"/>
  <c r="I6" i="1" s="1"/>
  <c r="L6" i="1" s="1"/>
  <c r="J7" i="1"/>
  <c r="I7" i="1" s="1"/>
  <c r="L7" i="1" s="1"/>
  <c r="J8" i="1"/>
  <c r="I8" i="1" s="1"/>
  <c r="L8" i="1" s="1"/>
  <c r="J9" i="1"/>
  <c r="J10" i="1"/>
  <c r="J11" i="1"/>
  <c r="J12" i="1"/>
  <c r="J13" i="1"/>
  <c r="J14" i="1"/>
  <c r="I14" i="1" s="1"/>
  <c r="L14" i="1" s="1"/>
  <c r="J15" i="1"/>
  <c r="I15" i="1" s="1"/>
  <c r="L15" i="1" s="1"/>
  <c r="J16" i="1"/>
  <c r="I16" i="1" s="1"/>
  <c r="L16" i="1" s="1"/>
  <c r="J17" i="1"/>
  <c r="J18" i="1"/>
  <c r="J19" i="1"/>
  <c r="J20" i="1"/>
  <c r="I20" i="1" s="1"/>
  <c r="L20" i="1" s="1"/>
  <c r="J21" i="1"/>
  <c r="I21" i="1" s="1"/>
  <c r="L21" i="1" s="1"/>
  <c r="J22" i="1"/>
  <c r="I22" i="1" s="1"/>
  <c r="L22" i="1" s="1"/>
  <c r="J23" i="1"/>
  <c r="J24" i="1"/>
  <c r="I24" i="1" s="1"/>
  <c r="L24" i="1" s="1"/>
  <c r="J25" i="1"/>
  <c r="J26" i="1"/>
  <c r="J27" i="1"/>
  <c r="J28" i="1"/>
  <c r="I28" i="1" s="1"/>
  <c r="L28" i="1" s="1"/>
  <c r="J29" i="1"/>
  <c r="I29" i="1" s="1"/>
  <c r="L29" i="1" s="1"/>
  <c r="J30" i="1"/>
  <c r="I30" i="1" s="1"/>
  <c r="L30" i="1" s="1"/>
  <c r="J31" i="1"/>
  <c r="J32" i="1"/>
  <c r="J33" i="1"/>
  <c r="J34" i="1"/>
  <c r="I34" i="1" s="1"/>
  <c r="L34" i="1" s="1"/>
  <c r="J35" i="1"/>
  <c r="I35" i="1" s="1"/>
  <c r="L35" i="1" s="1"/>
  <c r="J36" i="1"/>
  <c r="I36" i="1" s="1"/>
  <c r="L36" i="1" s="1"/>
  <c r="J37" i="1"/>
  <c r="J38" i="1"/>
  <c r="J39" i="1"/>
  <c r="J40" i="1"/>
  <c r="J41" i="1"/>
  <c r="J42" i="1"/>
  <c r="I42" i="1" s="1"/>
  <c r="L42" i="1" s="1"/>
  <c r="J43" i="1"/>
  <c r="I43" i="1" s="1"/>
  <c r="L43" i="1" s="1"/>
  <c r="J44" i="1"/>
  <c r="I44" i="1" s="1"/>
  <c r="L44" i="1" s="1"/>
  <c r="J45" i="1"/>
  <c r="J46" i="1"/>
  <c r="J47" i="1"/>
  <c r="J48" i="1"/>
  <c r="I48" i="1" s="1"/>
  <c r="L48" i="1" s="1"/>
  <c r="J49" i="1"/>
  <c r="I49" i="1" s="1"/>
  <c r="L49" i="1" s="1"/>
  <c r="J50" i="1"/>
  <c r="I50" i="1" s="1"/>
  <c r="L50" i="1" s="1"/>
  <c r="J51" i="1"/>
  <c r="J52" i="1"/>
  <c r="J53" i="1"/>
  <c r="J54" i="1"/>
  <c r="J55" i="1"/>
  <c r="J56" i="1"/>
  <c r="I56" i="1" s="1"/>
  <c r="L56" i="1" s="1"/>
  <c r="J57" i="1"/>
  <c r="I57" i="1" s="1"/>
  <c r="L57" i="1" s="1"/>
  <c r="J58" i="1"/>
  <c r="I58" i="1" s="1"/>
  <c r="L58" i="1" s="1"/>
  <c r="J59" i="1"/>
  <c r="J60" i="1"/>
  <c r="J61" i="1"/>
  <c r="J62" i="1"/>
  <c r="I62" i="1" s="1"/>
  <c r="L62" i="1" s="1"/>
  <c r="J63" i="1"/>
  <c r="I63" i="1" s="1"/>
  <c r="L63" i="1" s="1"/>
  <c r="J64" i="1"/>
  <c r="I64" i="1" s="1"/>
  <c r="L64" i="1" s="1"/>
  <c r="J65" i="1"/>
  <c r="J66" i="1"/>
  <c r="J67" i="1"/>
  <c r="J68" i="1"/>
  <c r="J69" i="1"/>
  <c r="J70" i="1"/>
  <c r="I70" i="1" s="1"/>
  <c r="L70" i="1" s="1"/>
  <c r="J71" i="1"/>
  <c r="I71" i="1" s="1"/>
  <c r="L71" i="1" s="1"/>
  <c r="J72" i="1"/>
  <c r="I72" i="1" s="1"/>
  <c r="L72" i="1" s="1"/>
  <c r="J73" i="1"/>
  <c r="J74" i="1"/>
  <c r="J75" i="1"/>
  <c r="J76" i="1"/>
  <c r="I76" i="1" s="1"/>
  <c r="L76" i="1" s="1"/>
  <c r="J77" i="1"/>
  <c r="I77" i="1" s="1"/>
  <c r="L77" i="1" s="1"/>
  <c r="J78" i="1"/>
  <c r="I78" i="1" s="1"/>
  <c r="L78" i="1" s="1"/>
  <c r="J79" i="1"/>
  <c r="J80" i="1"/>
  <c r="I80" i="1" s="1"/>
  <c r="L80" i="1" s="1"/>
  <c r="J81" i="1"/>
  <c r="J82" i="1"/>
  <c r="J83" i="1"/>
  <c r="I83" i="1" s="1"/>
  <c r="L83" i="1" s="1"/>
  <c r="J84" i="1"/>
  <c r="I84" i="1" s="1"/>
  <c r="L84" i="1" s="1"/>
  <c r="J85" i="1"/>
  <c r="I85" i="1" s="1"/>
  <c r="L85" i="1" s="1"/>
  <c r="J86" i="1"/>
  <c r="I86" i="1" s="1"/>
  <c r="L86" i="1" s="1"/>
  <c r="J87" i="1"/>
  <c r="J88" i="1"/>
  <c r="J89" i="1"/>
  <c r="J90" i="1"/>
  <c r="I90" i="1" s="1"/>
  <c r="L90" i="1" s="1"/>
  <c r="J91" i="1"/>
  <c r="I91" i="1" s="1"/>
  <c r="L91" i="1" s="1"/>
  <c r="J92" i="1"/>
  <c r="I92" i="1" s="1"/>
  <c r="L92" i="1" s="1"/>
  <c r="J93" i="1"/>
  <c r="J94" i="1"/>
  <c r="J95" i="1"/>
  <c r="J96" i="1"/>
  <c r="J97" i="1"/>
  <c r="I97" i="1" s="1"/>
  <c r="L97" i="1" s="1"/>
  <c r="J98" i="1"/>
  <c r="I98" i="1" s="1"/>
  <c r="L98" i="1" s="1"/>
  <c r="J99" i="1"/>
  <c r="I99" i="1" s="1"/>
  <c r="L99" i="1" s="1"/>
  <c r="J100" i="1"/>
  <c r="I100" i="1" s="1"/>
  <c r="J101" i="1"/>
  <c r="J102" i="1"/>
  <c r="J103" i="1"/>
  <c r="J104" i="1"/>
  <c r="I104" i="1" s="1"/>
  <c r="L104" i="1" s="1"/>
  <c r="J105" i="1"/>
  <c r="I105" i="1" s="1"/>
  <c r="L105" i="1" s="1"/>
  <c r="J106" i="1"/>
  <c r="I106" i="1" s="1"/>
  <c r="L106" i="1" s="1"/>
  <c r="J107" i="1"/>
  <c r="I107" i="1" s="1"/>
  <c r="L107" i="1" s="1"/>
  <c r="J108" i="1"/>
  <c r="I108" i="1" s="1"/>
  <c r="L108" i="1" s="1"/>
  <c r="J109" i="1"/>
  <c r="J110" i="1"/>
  <c r="J111" i="1"/>
  <c r="I111" i="1" s="1"/>
  <c r="L111" i="1" s="1"/>
  <c r="J112" i="1"/>
  <c r="I112" i="1" s="1"/>
  <c r="L112" i="1" s="1"/>
  <c r="J113" i="1"/>
  <c r="I113" i="1" s="1"/>
  <c r="L113" i="1" s="1"/>
  <c r="J114" i="1"/>
  <c r="I114" i="1" s="1"/>
  <c r="L114" i="1" s="1"/>
  <c r="J115" i="1"/>
  <c r="J116" i="1"/>
  <c r="J117" i="1"/>
  <c r="J118" i="1"/>
  <c r="I118" i="1" s="1"/>
  <c r="L118" i="1" s="1"/>
  <c r="J119" i="1"/>
  <c r="I119" i="1" s="1"/>
  <c r="L119" i="1" s="1"/>
  <c r="J120" i="1"/>
  <c r="I120" i="1" s="1"/>
  <c r="L120" i="1" s="1"/>
  <c r="J121" i="1"/>
  <c r="I121" i="1" s="1"/>
  <c r="L121" i="1" s="1"/>
  <c r="J122" i="1"/>
  <c r="I122" i="1" s="1"/>
  <c r="L122" i="1" s="1"/>
  <c r="J123" i="1"/>
  <c r="J124" i="1"/>
  <c r="J125" i="1"/>
  <c r="J126" i="1"/>
  <c r="I126" i="1" s="1"/>
  <c r="L126" i="1" s="1"/>
  <c r="J127" i="1"/>
  <c r="I127" i="1" s="1"/>
  <c r="L127" i="1" s="1"/>
  <c r="J128" i="1"/>
  <c r="I128" i="1" s="1"/>
  <c r="L128" i="1" s="1"/>
  <c r="J129" i="1"/>
  <c r="J130" i="1"/>
  <c r="J131" i="1"/>
  <c r="J132" i="1"/>
  <c r="I132" i="1" s="1"/>
  <c r="L132" i="1" s="1"/>
  <c r="J133" i="1"/>
  <c r="I133" i="1" s="1"/>
  <c r="J134" i="1"/>
  <c r="I134" i="1" s="1"/>
  <c r="L134" i="1" s="1"/>
  <c r="J135" i="1"/>
  <c r="I135" i="1" s="1"/>
  <c r="L135" i="1" s="1"/>
  <c r="J136" i="1"/>
  <c r="I136" i="1" s="1"/>
  <c r="L136" i="1" s="1"/>
  <c r="J137" i="1"/>
  <c r="J138" i="1"/>
  <c r="J139" i="1"/>
  <c r="J140" i="1"/>
  <c r="I140" i="1" s="1"/>
  <c r="L140" i="1" s="1"/>
  <c r="J141" i="1"/>
  <c r="I141" i="1" s="1"/>
  <c r="L141" i="1" s="1"/>
  <c r="J142" i="1"/>
  <c r="I142" i="1" s="1"/>
  <c r="L142" i="1" s="1"/>
  <c r="J143" i="1"/>
  <c r="J144" i="1"/>
  <c r="J145" i="1"/>
  <c r="J146" i="1"/>
  <c r="I146" i="1" s="1"/>
  <c r="L146" i="1" s="1"/>
  <c r="J147" i="1"/>
  <c r="I147" i="1" s="1"/>
  <c r="L147" i="1" s="1"/>
  <c r="J148" i="1"/>
  <c r="I148" i="1" s="1"/>
  <c r="L148" i="1" s="1"/>
  <c r="J149" i="1"/>
  <c r="J150" i="1"/>
  <c r="I150" i="1" s="1"/>
  <c r="L150" i="1" s="1"/>
  <c r="J151" i="1"/>
  <c r="J152" i="1"/>
  <c r="J153" i="1"/>
  <c r="I153" i="1" s="1"/>
  <c r="L153" i="1" s="1"/>
  <c r="J154" i="1"/>
  <c r="I154" i="1" s="1"/>
  <c r="L154" i="1" s="1"/>
  <c r="J155" i="1"/>
  <c r="I155" i="1" s="1"/>
  <c r="L155" i="1" s="1"/>
  <c r="J156" i="1"/>
  <c r="I156" i="1" s="1"/>
  <c r="L156" i="1" s="1"/>
  <c r="J157" i="1"/>
  <c r="J158" i="1"/>
  <c r="J159" i="1"/>
  <c r="J160" i="1"/>
  <c r="I160" i="1" s="1"/>
  <c r="L160" i="1" s="1"/>
  <c r="J161" i="1"/>
  <c r="I161" i="1" s="1"/>
  <c r="J162" i="1"/>
  <c r="I162" i="1" s="1"/>
  <c r="L162" i="1" s="1"/>
  <c r="J163" i="1"/>
  <c r="J164" i="1"/>
  <c r="I164" i="1" s="1"/>
  <c r="L164" i="1" s="1"/>
  <c r="J165" i="1"/>
  <c r="J166" i="1"/>
  <c r="J167" i="1"/>
  <c r="J168" i="1"/>
  <c r="I168" i="1" s="1"/>
  <c r="L168" i="1" s="1"/>
  <c r="J169" i="1"/>
  <c r="I169" i="1" s="1"/>
  <c r="L169" i="1" s="1"/>
  <c r="J170" i="1"/>
  <c r="I170" i="1" s="1"/>
  <c r="L170" i="1" s="1"/>
  <c r="J171" i="1"/>
  <c r="J172" i="1"/>
  <c r="J173" i="1"/>
  <c r="J174" i="1"/>
  <c r="I174" i="1" s="1"/>
  <c r="L174" i="1" s="1"/>
  <c r="J175" i="1"/>
  <c r="I175" i="1" s="1"/>
  <c r="L175" i="1" s="1"/>
  <c r="J176" i="1"/>
  <c r="I176" i="1" s="1"/>
  <c r="L176" i="1" s="1"/>
  <c r="J177" i="1"/>
  <c r="I177" i="1" s="1"/>
  <c r="L177" i="1" s="1"/>
  <c r="J178" i="1"/>
  <c r="I178" i="1" s="1"/>
  <c r="L178" i="1" s="1"/>
  <c r="J179" i="1"/>
  <c r="J180" i="1"/>
  <c r="J181" i="1"/>
  <c r="J182" i="1"/>
  <c r="I182" i="1" s="1"/>
  <c r="L182" i="1" s="1"/>
  <c r="J183" i="1"/>
  <c r="I183" i="1" s="1"/>
  <c r="L183" i="1" s="1"/>
  <c r="J184" i="1"/>
  <c r="I184" i="1" s="1"/>
  <c r="L184" i="1" s="1"/>
  <c r="J185" i="1"/>
  <c r="J186" i="1"/>
  <c r="J187" i="1"/>
  <c r="J188" i="1"/>
  <c r="I188" i="1" s="1"/>
  <c r="L188" i="1" s="1"/>
  <c r="J189" i="1"/>
  <c r="I189" i="1" s="1"/>
  <c r="L189" i="1" s="1"/>
  <c r="J190" i="1"/>
  <c r="I190" i="1" s="1"/>
  <c r="L190" i="1" s="1"/>
  <c r="J191" i="1"/>
  <c r="J192" i="1"/>
  <c r="J193" i="1"/>
  <c r="J194" i="1"/>
  <c r="J195" i="1"/>
  <c r="J196" i="1"/>
  <c r="I196" i="1" s="1"/>
  <c r="L196" i="1" s="1"/>
  <c r="J197" i="1"/>
  <c r="I197" i="1" s="1"/>
  <c r="L197" i="1" s="1"/>
  <c r="J198" i="1"/>
  <c r="I198" i="1" s="1"/>
  <c r="L198" i="1" s="1"/>
  <c r="J199" i="1"/>
  <c r="J200" i="1"/>
  <c r="J201" i="1"/>
  <c r="J202" i="1"/>
  <c r="I202" i="1" s="1"/>
  <c r="L202" i="1" s="1"/>
  <c r="J203" i="1"/>
  <c r="I203" i="1" s="1"/>
  <c r="L203" i="1" s="1"/>
  <c r="J204" i="1"/>
  <c r="I204" i="1" s="1"/>
  <c r="L204" i="1" s="1"/>
  <c r="J205" i="1"/>
  <c r="J206" i="1"/>
  <c r="J207" i="1"/>
  <c r="J208" i="1"/>
  <c r="J209" i="1"/>
  <c r="J210" i="1"/>
  <c r="I210" i="1" s="1"/>
  <c r="L210" i="1" s="1"/>
  <c r="J211" i="1"/>
  <c r="I211" i="1" s="1"/>
  <c r="L211" i="1" s="1"/>
  <c r="J212" i="1"/>
  <c r="I212" i="1" s="1"/>
  <c r="L212" i="1" s="1"/>
  <c r="J213" i="1"/>
  <c r="J214" i="1"/>
  <c r="J215" i="1"/>
  <c r="J216" i="1"/>
  <c r="I216" i="1" s="1"/>
  <c r="L216" i="1" s="1"/>
  <c r="J217" i="1"/>
  <c r="I217" i="1" s="1"/>
  <c r="L217" i="1" s="1"/>
  <c r="J218" i="1"/>
  <c r="I218" i="1" s="1"/>
  <c r="L218" i="1" s="1"/>
  <c r="J219" i="1"/>
  <c r="J220" i="1"/>
  <c r="I220" i="1" s="1"/>
  <c r="L220" i="1" s="1"/>
  <c r="J221" i="1"/>
  <c r="J222" i="1"/>
  <c r="J223" i="1"/>
  <c r="J224" i="1"/>
  <c r="I224" i="1" s="1"/>
  <c r="L224" i="1" s="1"/>
  <c r="J225" i="1"/>
  <c r="I225" i="1" s="1"/>
  <c r="L225" i="1" s="1"/>
  <c r="J226" i="1"/>
  <c r="I226" i="1" s="1"/>
  <c r="L226" i="1" s="1"/>
  <c r="J227" i="1"/>
  <c r="J228" i="1"/>
  <c r="J229" i="1"/>
  <c r="J230" i="1"/>
  <c r="I230" i="1" s="1"/>
  <c r="L230" i="1" s="1"/>
  <c r="J231" i="1"/>
  <c r="I231" i="1" s="1"/>
  <c r="L231" i="1" s="1"/>
  <c r="J232" i="1"/>
  <c r="I232" i="1" s="1"/>
  <c r="L232" i="1" s="1"/>
  <c r="J233" i="1"/>
  <c r="J234" i="1"/>
  <c r="J235" i="1"/>
  <c r="J236" i="1"/>
  <c r="J237" i="1"/>
  <c r="J238" i="1"/>
  <c r="I238" i="1" s="1"/>
  <c r="L238" i="1" s="1"/>
  <c r="J239" i="1"/>
  <c r="I239" i="1" s="1"/>
  <c r="L239" i="1" s="1"/>
  <c r="J240" i="1"/>
  <c r="I240" i="1" s="1"/>
  <c r="L240" i="1" s="1"/>
  <c r="J241" i="1"/>
  <c r="J242" i="1"/>
  <c r="J243" i="1"/>
  <c r="J244" i="1"/>
  <c r="I244" i="1" s="1"/>
  <c r="L244" i="1" s="1"/>
  <c r="J245" i="1"/>
  <c r="I245" i="1" s="1"/>
  <c r="L245" i="1" s="1"/>
  <c r="J246" i="1"/>
  <c r="I246" i="1" s="1"/>
  <c r="L246" i="1" s="1"/>
  <c r="J247" i="1"/>
  <c r="J248" i="1"/>
  <c r="J249" i="1"/>
  <c r="J250" i="1"/>
  <c r="J251" i="1"/>
  <c r="J252" i="1"/>
  <c r="I252" i="1" s="1"/>
  <c r="L252" i="1" s="1"/>
  <c r="J253" i="1"/>
  <c r="I253" i="1" s="1"/>
  <c r="L253" i="1" s="1"/>
  <c r="J254" i="1"/>
  <c r="I254" i="1" s="1"/>
  <c r="L254" i="1" s="1"/>
  <c r="J255" i="1"/>
  <c r="J256" i="1"/>
  <c r="J257" i="1"/>
  <c r="J258" i="1"/>
  <c r="I258" i="1" s="1"/>
  <c r="L258" i="1" s="1"/>
  <c r="J259" i="1"/>
  <c r="I259" i="1" s="1"/>
  <c r="L259" i="1" s="1"/>
  <c r="J260" i="1"/>
  <c r="I260" i="1" s="1"/>
  <c r="L260" i="1" s="1"/>
  <c r="J261" i="1"/>
  <c r="J262" i="1"/>
  <c r="J263" i="1"/>
  <c r="J264" i="1"/>
  <c r="J265" i="1"/>
  <c r="J266" i="1"/>
  <c r="I266" i="1" s="1"/>
  <c r="L266" i="1" s="1"/>
  <c r="J267" i="1"/>
  <c r="I267" i="1" s="1"/>
  <c r="L267" i="1" s="1"/>
  <c r="J268" i="1"/>
  <c r="I268" i="1" s="1"/>
  <c r="L268" i="1" s="1"/>
  <c r="J269" i="1"/>
  <c r="J270" i="1"/>
  <c r="J271" i="1"/>
  <c r="J272" i="1"/>
  <c r="I272" i="1" s="1"/>
  <c r="L272" i="1" s="1"/>
  <c r="J273" i="1"/>
  <c r="I273" i="1" s="1"/>
  <c r="L273" i="1" s="1"/>
  <c r="J274" i="1"/>
  <c r="J275" i="1"/>
  <c r="J276" i="1"/>
  <c r="J277" i="1"/>
  <c r="J278" i="1"/>
  <c r="J279" i="1"/>
  <c r="J280" i="1"/>
  <c r="I280" i="1" s="1"/>
  <c r="L280" i="1" s="1"/>
  <c r="J281" i="1"/>
  <c r="I281" i="1" s="1"/>
  <c r="L281" i="1" s="1"/>
  <c r="J282" i="1"/>
  <c r="I282" i="1" s="1"/>
  <c r="L282" i="1" s="1"/>
  <c r="J283" i="1"/>
  <c r="J284" i="1"/>
  <c r="J285" i="1"/>
  <c r="J286" i="1"/>
  <c r="I286" i="1" s="1"/>
  <c r="L286" i="1" s="1"/>
  <c r="J287" i="1"/>
  <c r="I287" i="1" s="1"/>
  <c r="L287" i="1" s="1"/>
  <c r="J288" i="1"/>
  <c r="J289" i="1"/>
  <c r="J290" i="1"/>
  <c r="J291" i="1"/>
  <c r="J292" i="1"/>
  <c r="J293" i="1"/>
  <c r="J294" i="1"/>
  <c r="I294" i="1" s="1"/>
  <c r="L294" i="1" s="1"/>
  <c r="J295" i="1"/>
  <c r="I295" i="1" s="1"/>
  <c r="L295" i="1" s="1"/>
  <c r="J296" i="1"/>
  <c r="I296" i="1" s="1"/>
  <c r="L296" i="1" s="1"/>
  <c r="J297" i="1"/>
  <c r="J298" i="1"/>
  <c r="J299" i="1"/>
  <c r="J300" i="1"/>
  <c r="I300" i="1" s="1"/>
  <c r="L300" i="1" s="1"/>
  <c r="J301" i="1"/>
  <c r="I301" i="1" s="1"/>
  <c r="L301" i="1" s="1"/>
  <c r="J302" i="1"/>
  <c r="J303" i="1"/>
  <c r="I303" i="1" s="1"/>
  <c r="L303" i="1" s="1"/>
  <c r="J304" i="1"/>
  <c r="I304" i="1" s="1"/>
  <c r="L304" i="1" s="1"/>
  <c r="J305" i="1"/>
  <c r="J306" i="1"/>
  <c r="J307" i="1"/>
  <c r="J308" i="1"/>
  <c r="I308" i="1" s="1"/>
  <c r="L308" i="1" s="1"/>
  <c r="J309" i="1"/>
  <c r="I309" i="1" s="1"/>
  <c r="L309" i="1" s="1"/>
  <c r="J310" i="1"/>
  <c r="J311" i="1"/>
  <c r="J312" i="1"/>
  <c r="J313" i="1"/>
  <c r="J314" i="1"/>
  <c r="I314" i="1" s="1"/>
  <c r="L314" i="1" s="1"/>
  <c r="J315" i="1"/>
  <c r="I315" i="1" s="1"/>
  <c r="L315" i="1" s="1"/>
  <c r="J316" i="1"/>
  <c r="J317" i="1"/>
  <c r="J318" i="1"/>
  <c r="I318" i="1" s="1"/>
  <c r="L318" i="1" s="1"/>
  <c r="J319" i="1"/>
  <c r="J320" i="1"/>
  <c r="J321" i="1"/>
  <c r="I321" i="1" s="1"/>
  <c r="L321" i="1" s="1"/>
  <c r="J322" i="1"/>
  <c r="I322" i="1" s="1"/>
  <c r="L322" i="1" s="1"/>
  <c r="J323" i="1"/>
  <c r="I323" i="1" s="1"/>
  <c r="L323" i="1" s="1"/>
  <c r="J324" i="1"/>
  <c r="I324" i="1" s="1"/>
  <c r="L324" i="1" s="1"/>
  <c r="J325" i="1"/>
  <c r="J326" i="1"/>
  <c r="J327" i="1"/>
  <c r="J328" i="1"/>
  <c r="I328" i="1" s="1"/>
  <c r="L328" i="1" s="1"/>
  <c r="J329" i="1"/>
  <c r="I329" i="1" s="1"/>
  <c r="L329" i="1" s="1"/>
  <c r="J330" i="1"/>
  <c r="J331" i="1"/>
  <c r="I331" i="1" s="1"/>
  <c r="L331" i="1" s="1"/>
  <c r="J332" i="1"/>
  <c r="I332" i="1" s="1"/>
  <c r="L332" i="1" s="1"/>
  <c r="J333" i="1"/>
  <c r="J334" i="1"/>
  <c r="J335" i="1"/>
  <c r="J336" i="1"/>
  <c r="I336" i="1" s="1"/>
  <c r="L336" i="1" s="1"/>
  <c r="J337" i="1"/>
  <c r="I337" i="1" s="1"/>
  <c r="L337" i="1" s="1"/>
  <c r="J338" i="1"/>
  <c r="I338" i="1" s="1"/>
  <c r="L338" i="1" s="1"/>
  <c r="J339" i="1"/>
  <c r="J340" i="1"/>
  <c r="J341" i="1"/>
  <c r="J342" i="1"/>
  <c r="I342" i="1" s="1"/>
  <c r="L342" i="1" s="1"/>
  <c r="J343" i="1"/>
  <c r="I343" i="1" s="1"/>
  <c r="L343" i="1" s="1"/>
  <c r="J344" i="1"/>
  <c r="J345" i="1"/>
  <c r="J346" i="1"/>
  <c r="J347" i="1"/>
  <c r="J348" i="1"/>
  <c r="J349" i="1"/>
  <c r="I349" i="1" s="1"/>
  <c r="L349" i="1" s="1"/>
  <c r="J350" i="1"/>
  <c r="I350" i="1" s="1"/>
  <c r="L350" i="1" s="1"/>
  <c r="J351" i="1"/>
  <c r="I351" i="1" s="1"/>
  <c r="L351" i="1" s="1"/>
  <c r="J352" i="1"/>
  <c r="I352" i="1" s="1"/>
  <c r="L352" i="1" s="1"/>
  <c r="J353" i="1"/>
  <c r="J354" i="1"/>
  <c r="J355" i="1"/>
  <c r="J356" i="1"/>
  <c r="I356" i="1" s="1"/>
  <c r="L356" i="1" s="1"/>
  <c r="J357" i="1"/>
  <c r="I357" i="1" s="1"/>
  <c r="L357" i="1" s="1"/>
  <c r="J358" i="1"/>
  <c r="J359" i="1"/>
  <c r="J360" i="1"/>
  <c r="J361" i="1"/>
  <c r="J362" i="1"/>
  <c r="J363" i="1"/>
  <c r="J364" i="1"/>
  <c r="I364" i="1" s="1"/>
  <c r="L364" i="1" s="1"/>
  <c r="J365" i="1"/>
  <c r="I365" i="1" s="1"/>
  <c r="L365" i="1" s="1"/>
  <c r="J366" i="1"/>
  <c r="I366" i="1" s="1"/>
  <c r="L366" i="1" s="1"/>
  <c r="J367" i="1"/>
  <c r="J368" i="1"/>
  <c r="J369" i="1"/>
  <c r="J370" i="1"/>
  <c r="I370" i="1" s="1"/>
  <c r="L370" i="1" s="1"/>
  <c r="J371" i="1"/>
  <c r="I371" i="1" s="1"/>
  <c r="L371" i="1" s="1"/>
  <c r="J372" i="1"/>
  <c r="J373" i="1"/>
  <c r="J374" i="1"/>
  <c r="J375" i="1"/>
  <c r="J376" i="1"/>
  <c r="J377" i="1"/>
  <c r="J378" i="1"/>
  <c r="I378" i="1" s="1"/>
  <c r="L378" i="1" s="1"/>
  <c r="J379" i="1"/>
  <c r="I379" i="1" s="1"/>
  <c r="L379" i="1" s="1"/>
  <c r="J380" i="1"/>
  <c r="I380" i="1" s="1"/>
  <c r="L380" i="1" s="1"/>
  <c r="J381" i="1"/>
  <c r="J382" i="1"/>
  <c r="J383" i="1"/>
  <c r="J384" i="1"/>
  <c r="I384" i="1" s="1"/>
  <c r="L384" i="1" s="1"/>
  <c r="J385" i="1"/>
  <c r="I385" i="1" s="1"/>
  <c r="L385" i="1" s="1"/>
  <c r="J386" i="1"/>
  <c r="J387" i="1"/>
  <c r="J388" i="1"/>
  <c r="J389" i="1"/>
  <c r="J390" i="1"/>
  <c r="J391" i="1"/>
  <c r="J392" i="1"/>
  <c r="I392" i="1" s="1"/>
  <c r="L392" i="1" s="1"/>
  <c r="J393" i="1"/>
  <c r="I393" i="1" s="1"/>
  <c r="L393" i="1" s="1"/>
  <c r="J394" i="1"/>
  <c r="I394" i="1" s="1"/>
  <c r="L394" i="1" s="1"/>
  <c r="J395" i="1"/>
  <c r="J396" i="1"/>
  <c r="J397" i="1"/>
  <c r="J398" i="1"/>
  <c r="I398" i="1" s="1"/>
  <c r="L398" i="1" s="1"/>
  <c r="J399" i="1"/>
  <c r="I399" i="1" s="1"/>
  <c r="L399" i="1" s="1"/>
  <c r="J400" i="1"/>
  <c r="J401" i="1"/>
  <c r="I401" i="1" s="1"/>
  <c r="L401" i="1" s="1"/>
  <c r="J402" i="1"/>
  <c r="I402" i="1" s="1"/>
  <c r="L402" i="1" s="1"/>
  <c r="J403" i="1"/>
  <c r="J404" i="1"/>
  <c r="J405" i="1"/>
  <c r="J406" i="1"/>
  <c r="I406" i="1" s="1"/>
  <c r="L406" i="1" s="1"/>
  <c r="J407" i="1"/>
  <c r="I407" i="1" s="1"/>
  <c r="L407" i="1" s="1"/>
  <c r="J408" i="1"/>
  <c r="J409" i="1"/>
  <c r="J410" i="1"/>
  <c r="J411" i="1"/>
  <c r="J412" i="1"/>
  <c r="I412" i="1" s="1"/>
  <c r="L412" i="1" s="1"/>
  <c r="J413" i="1"/>
  <c r="I413" i="1" s="1"/>
  <c r="L413" i="1" s="1"/>
  <c r="J414" i="1"/>
  <c r="J415" i="1"/>
  <c r="J416" i="1"/>
  <c r="I416" i="1" s="1"/>
  <c r="L416" i="1" s="1"/>
  <c r="J417" i="1"/>
  <c r="J418" i="1"/>
  <c r="J419" i="1"/>
  <c r="I419" i="1" s="1"/>
  <c r="L419" i="1" s="1"/>
  <c r="J420" i="1"/>
  <c r="I420" i="1" s="1"/>
  <c r="L420" i="1" s="1"/>
  <c r="J421" i="1"/>
  <c r="I421" i="1" s="1"/>
  <c r="L421" i="1" s="1"/>
  <c r="J422" i="1"/>
  <c r="I422" i="1" s="1"/>
  <c r="L422" i="1" s="1"/>
  <c r="J423" i="1"/>
  <c r="J424" i="1"/>
  <c r="J425" i="1"/>
  <c r="J426" i="1"/>
  <c r="I426" i="1" s="1"/>
  <c r="L426" i="1" s="1"/>
  <c r="J427" i="1"/>
  <c r="I427" i="1" s="1"/>
  <c r="L427" i="1" s="1"/>
  <c r="J428" i="1"/>
  <c r="J429" i="1"/>
  <c r="I429" i="1" s="1"/>
  <c r="L429" i="1" s="1"/>
  <c r="J430" i="1"/>
  <c r="I430" i="1" s="1"/>
  <c r="L430" i="1" s="1"/>
  <c r="J431" i="1"/>
  <c r="J432" i="1"/>
  <c r="J433" i="1"/>
  <c r="J434" i="1"/>
  <c r="I434" i="1" s="1"/>
  <c r="L434" i="1" s="1"/>
  <c r="J435" i="1"/>
  <c r="I435" i="1" s="1"/>
  <c r="L435" i="1" s="1"/>
  <c r="J436" i="1"/>
  <c r="I436" i="1" s="1"/>
  <c r="L436" i="1" s="1"/>
  <c r="J437" i="1"/>
  <c r="J438" i="1"/>
  <c r="J439" i="1"/>
  <c r="J440" i="1"/>
  <c r="I440" i="1" s="1"/>
  <c r="L440" i="1" s="1"/>
  <c r="J441" i="1"/>
  <c r="I441" i="1" s="1"/>
  <c r="L441" i="1" s="1"/>
  <c r="J442" i="1"/>
  <c r="J443" i="1"/>
  <c r="J444" i="1"/>
  <c r="J445" i="1"/>
  <c r="J446" i="1"/>
  <c r="J2" i="1"/>
  <c r="I2" i="1"/>
  <c r="L2" i="1" s="1"/>
  <c r="I445" i="1"/>
  <c r="I446" i="1"/>
  <c r="L448" i="1"/>
  <c r="L450" i="1"/>
  <c r="L447" i="1"/>
  <c r="L449" i="1"/>
  <c r="L461" i="1"/>
  <c r="L462" i="1"/>
  <c r="L463" i="1"/>
  <c r="L464" i="1"/>
  <c r="L465" i="1"/>
  <c r="L466" i="1"/>
  <c r="I25" i="2"/>
  <c r="L25" i="2" s="1"/>
  <c r="I24" i="2"/>
  <c r="L24" i="2" s="1"/>
  <c r="I23" i="2"/>
  <c r="L23" i="2" s="1"/>
  <c r="L19" i="2"/>
  <c r="I18" i="2"/>
  <c r="L18" i="2" s="1"/>
  <c r="I17" i="2"/>
  <c r="L17" i="2" s="1"/>
  <c r="I12" i="2"/>
  <c r="L12" i="2" s="1"/>
  <c r="I11" i="2"/>
  <c r="L11" i="2" s="1"/>
  <c r="I10" i="2"/>
  <c r="L10" i="2" s="1"/>
  <c r="I9" i="2"/>
  <c r="L9" i="2" s="1"/>
  <c r="I5" i="2"/>
  <c r="L5" i="2" s="1"/>
  <c r="I4" i="2"/>
  <c r="L4" i="2" s="1"/>
  <c r="I3" i="2"/>
  <c r="L3" i="2" s="1"/>
  <c r="I2" i="2"/>
  <c r="L2" i="2" s="1"/>
  <c r="I3" i="1"/>
  <c r="L3" i="1" s="1"/>
  <c r="I4" i="1"/>
  <c r="L4" i="1" s="1"/>
  <c r="I5" i="1"/>
  <c r="L5" i="1" s="1"/>
  <c r="I9" i="1"/>
  <c r="L9" i="1" s="1"/>
  <c r="I10" i="1"/>
  <c r="L10" i="1" s="1"/>
  <c r="I11" i="1"/>
  <c r="L11" i="1" s="1"/>
  <c r="I12" i="1"/>
  <c r="L12" i="1" s="1"/>
  <c r="I13" i="1"/>
  <c r="L13" i="1" s="1"/>
  <c r="I17" i="1"/>
  <c r="L17" i="1" s="1"/>
  <c r="I18" i="1"/>
  <c r="L18" i="1" s="1"/>
  <c r="I19" i="1"/>
  <c r="L19" i="1" s="1"/>
  <c r="I23" i="1"/>
  <c r="L23" i="1" s="1"/>
  <c r="I25" i="1"/>
  <c r="L25" i="1" s="1"/>
  <c r="I26" i="1"/>
  <c r="L26" i="1" s="1"/>
  <c r="I27" i="1"/>
  <c r="L27" i="1" s="1"/>
  <c r="I31" i="1"/>
  <c r="L31" i="1" s="1"/>
  <c r="I32" i="1"/>
  <c r="L32" i="1" s="1"/>
  <c r="I33" i="1"/>
  <c r="L33" i="1" s="1"/>
  <c r="I37" i="1"/>
  <c r="L37" i="1" s="1"/>
  <c r="I38" i="1"/>
  <c r="L38" i="1" s="1"/>
  <c r="I39" i="1"/>
  <c r="L39" i="1" s="1"/>
  <c r="I40" i="1"/>
  <c r="L40" i="1" s="1"/>
  <c r="I41" i="1"/>
  <c r="L41" i="1" s="1"/>
  <c r="I45" i="1"/>
  <c r="L45" i="1" s="1"/>
  <c r="I46" i="1"/>
  <c r="L46" i="1" s="1"/>
  <c r="I47" i="1"/>
  <c r="L47" i="1" s="1"/>
  <c r="I51" i="1"/>
  <c r="L51" i="1" s="1"/>
  <c r="I52" i="1"/>
  <c r="L52" i="1" s="1"/>
  <c r="I53" i="1"/>
  <c r="L53" i="1" s="1"/>
  <c r="I54" i="1"/>
  <c r="L54" i="1" s="1"/>
  <c r="I55" i="1"/>
  <c r="L55" i="1" s="1"/>
  <c r="I59" i="1"/>
  <c r="L59" i="1" s="1"/>
  <c r="I60" i="1"/>
  <c r="L60" i="1" s="1"/>
  <c r="I61" i="1"/>
  <c r="L61" i="1" s="1"/>
  <c r="I65" i="1"/>
  <c r="L65" i="1" s="1"/>
  <c r="I66" i="1"/>
  <c r="L66" i="1" s="1"/>
  <c r="I67" i="1"/>
  <c r="L67" i="1" s="1"/>
  <c r="I68" i="1"/>
  <c r="L68" i="1" s="1"/>
  <c r="I69" i="1"/>
  <c r="L69" i="1" s="1"/>
  <c r="I73" i="1"/>
  <c r="L73" i="1" s="1"/>
  <c r="I74" i="1"/>
  <c r="L74" i="1" s="1"/>
  <c r="I75" i="1"/>
  <c r="L75" i="1" s="1"/>
  <c r="I79" i="1"/>
  <c r="L79" i="1" s="1"/>
  <c r="I81" i="1"/>
  <c r="L81" i="1" s="1"/>
  <c r="I82" i="1"/>
  <c r="L82" i="1" s="1"/>
  <c r="I87" i="1"/>
  <c r="L87" i="1" s="1"/>
  <c r="I88" i="1"/>
  <c r="L88" i="1" s="1"/>
  <c r="I89" i="1"/>
  <c r="L89" i="1" s="1"/>
  <c r="I93" i="1"/>
  <c r="L93" i="1" s="1"/>
  <c r="I94" i="1"/>
  <c r="L94" i="1" s="1"/>
  <c r="I95" i="1"/>
  <c r="L95" i="1" s="1"/>
  <c r="I96" i="1"/>
  <c r="L96" i="1" s="1"/>
  <c r="I101" i="1"/>
  <c r="L101" i="1" s="1"/>
  <c r="I102" i="1"/>
  <c r="L102" i="1" s="1"/>
  <c r="I103" i="1"/>
  <c r="L103" i="1" s="1"/>
  <c r="I109" i="1"/>
  <c r="L109" i="1" s="1"/>
  <c r="I110" i="1"/>
  <c r="L110" i="1" s="1"/>
  <c r="I115" i="1"/>
  <c r="L115" i="1" s="1"/>
  <c r="I116" i="1"/>
  <c r="L116" i="1" s="1"/>
  <c r="I117" i="1"/>
  <c r="L117" i="1" s="1"/>
  <c r="I123" i="1"/>
  <c r="L123" i="1" s="1"/>
  <c r="I124" i="1"/>
  <c r="L124" i="1" s="1"/>
  <c r="I125" i="1"/>
  <c r="L125" i="1" s="1"/>
  <c r="I129" i="1"/>
  <c r="L129" i="1" s="1"/>
  <c r="I130" i="1"/>
  <c r="L130" i="1" s="1"/>
  <c r="I131" i="1"/>
  <c r="L131" i="1" s="1"/>
  <c r="I137" i="1"/>
  <c r="L137" i="1" s="1"/>
  <c r="I138" i="1"/>
  <c r="L138" i="1" s="1"/>
  <c r="I139" i="1"/>
  <c r="L139" i="1" s="1"/>
  <c r="I143" i="1"/>
  <c r="L143" i="1" s="1"/>
  <c r="I144" i="1"/>
  <c r="L144" i="1" s="1"/>
  <c r="I145" i="1"/>
  <c r="L145" i="1" s="1"/>
  <c r="I149" i="1"/>
  <c r="L149" i="1" s="1"/>
  <c r="I151" i="1"/>
  <c r="L151" i="1" s="1"/>
  <c r="I152" i="1"/>
  <c r="L152" i="1" s="1"/>
  <c r="I157" i="1"/>
  <c r="L157" i="1" s="1"/>
  <c r="I158" i="1"/>
  <c r="L158" i="1" s="1"/>
  <c r="I159" i="1"/>
  <c r="L159" i="1" s="1"/>
  <c r="I163" i="1"/>
  <c r="L163" i="1" s="1"/>
  <c r="I165" i="1"/>
  <c r="L165" i="1" s="1"/>
  <c r="I166" i="1"/>
  <c r="L166" i="1" s="1"/>
  <c r="I167" i="1"/>
  <c r="L167" i="1" s="1"/>
  <c r="I171" i="1"/>
  <c r="L171" i="1" s="1"/>
  <c r="I172" i="1"/>
  <c r="L172" i="1" s="1"/>
  <c r="I173" i="1"/>
  <c r="L173" i="1" s="1"/>
  <c r="I179" i="1"/>
  <c r="L179" i="1" s="1"/>
  <c r="I180" i="1"/>
  <c r="L180" i="1" s="1"/>
  <c r="I181" i="1"/>
  <c r="L181" i="1" s="1"/>
  <c r="I185" i="1"/>
  <c r="L185" i="1" s="1"/>
  <c r="I186" i="1"/>
  <c r="L186" i="1" s="1"/>
  <c r="I187" i="1"/>
  <c r="L187" i="1" s="1"/>
  <c r="I191" i="1"/>
  <c r="L191" i="1" s="1"/>
  <c r="I192" i="1"/>
  <c r="L192" i="1" s="1"/>
  <c r="I193" i="1"/>
  <c r="L193" i="1" s="1"/>
  <c r="I194" i="1"/>
  <c r="L194" i="1" s="1"/>
  <c r="I195" i="1"/>
  <c r="L195" i="1" s="1"/>
  <c r="I199" i="1"/>
  <c r="L199" i="1" s="1"/>
  <c r="I200" i="1"/>
  <c r="L200" i="1" s="1"/>
  <c r="I201" i="1"/>
  <c r="L201" i="1" s="1"/>
  <c r="I205" i="1"/>
  <c r="L205" i="1" s="1"/>
  <c r="I206" i="1"/>
  <c r="L206" i="1" s="1"/>
  <c r="I207" i="1"/>
  <c r="L207" i="1" s="1"/>
  <c r="I208" i="1"/>
  <c r="L208" i="1" s="1"/>
  <c r="I209" i="1"/>
  <c r="L209" i="1" s="1"/>
  <c r="I213" i="1"/>
  <c r="L213" i="1" s="1"/>
  <c r="I214" i="1"/>
  <c r="L214" i="1" s="1"/>
  <c r="I215" i="1"/>
  <c r="L215" i="1" s="1"/>
  <c r="I219" i="1"/>
  <c r="L219" i="1" s="1"/>
  <c r="I221" i="1"/>
  <c r="L221" i="1" s="1"/>
  <c r="I222" i="1"/>
  <c r="L222" i="1" s="1"/>
  <c r="I223" i="1"/>
  <c r="L223" i="1" s="1"/>
  <c r="I227" i="1"/>
  <c r="L227" i="1" s="1"/>
  <c r="I228" i="1"/>
  <c r="L228" i="1" s="1"/>
  <c r="I229" i="1"/>
  <c r="L229" i="1" s="1"/>
  <c r="I233" i="1"/>
  <c r="L233" i="1" s="1"/>
  <c r="I234" i="1"/>
  <c r="L234" i="1" s="1"/>
  <c r="I235" i="1"/>
  <c r="L235" i="1" s="1"/>
  <c r="I236" i="1"/>
  <c r="L236" i="1" s="1"/>
  <c r="I237" i="1"/>
  <c r="L237" i="1" s="1"/>
  <c r="I241" i="1"/>
  <c r="L241" i="1" s="1"/>
  <c r="I242" i="1"/>
  <c r="L242" i="1" s="1"/>
  <c r="I243" i="1"/>
  <c r="L243" i="1" s="1"/>
  <c r="I247" i="1"/>
  <c r="L247" i="1" s="1"/>
  <c r="I248" i="1"/>
  <c r="L248" i="1" s="1"/>
  <c r="I249" i="1"/>
  <c r="L249" i="1" s="1"/>
  <c r="I250" i="1"/>
  <c r="L250" i="1" s="1"/>
  <c r="I251" i="1"/>
  <c r="L251" i="1" s="1"/>
  <c r="I255" i="1"/>
  <c r="L255" i="1" s="1"/>
  <c r="I256" i="1"/>
  <c r="L256" i="1" s="1"/>
  <c r="I257" i="1"/>
  <c r="L257" i="1" s="1"/>
  <c r="I261" i="1"/>
  <c r="L261" i="1" s="1"/>
  <c r="I262" i="1"/>
  <c r="L262" i="1" s="1"/>
  <c r="I263" i="1"/>
  <c r="L263" i="1" s="1"/>
  <c r="I264" i="1"/>
  <c r="L264" i="1" s="1"/>
  <c r="I265" i="1"/>
  <c r="L265" i="1" s="1"/>
  <c r="I269" i="1"/>
  <c r="L269" i="1" s="1"/>
  <c r="I270" i="1"/>
  <c r="L270" i="1" s="1"/>
  <c r="I271" i="1"/>
  <c r="L271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3" i="1"/>
  <c r="L283" i="1" s="1"/>
  <c r="I284" i="1"/>
  <c r="L284" i="1" s="1"/>
  <c r="I285" i="1"/>
  <c r="L285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7" i="1"/>
  <c r="L297" i="1" s="1"/>
  <c r="I298" i="1"/>
  <c r="L298" i="1" s="1"/>
  <c r="I299" i="1"/>
  <c r="L299" i="1" s="1"/>
  <c r="I302" i="1"/>
  <c r="L302" i="1" s="1"/>
  <c r="I305" i="1"/>
  <c r="L305" i="1" s="1"/>
  <c r="I306" i="1"/>
  <c r="L306" i="1" s="1"/>
  <c r="I307" i="1"/>
  <c r="L307" i="1" s="1"/>
  <c r="I310" i="1"/>
  <c r="L310" i="1" s="1"/>
  <c r="I311" i="1"/>
  <c r="L311" i="1" s="1"/>
  <c r="I312" i="1"/>
  <c r="L312" i="1" s="1"/>
  <c r="I313" i="1"/>
  <c r="L313" i="1" s="1"/>
  <c r="I316" i="1"/>
  <c r="L316" i="1" s="1"/>
  <c r="I317" i="1"/>
  <c r="L317" i="1" s="1"/>
  <c r="I319" i="1"/>
  <c r="L319" i="1" s="1"/>
  <c r="I320" i="1"/>
  <c r="L320" i="1" s="1"/>
  <c r="I325" i="1"/>
  <c r="L325" i="1" s="1"/>
  <c r="I326" i="1"/>
  <c r="L326" i="1" s="1"/>
  <c r="I327" i="1"/>
  <c r="L327" i="1" s="1"/>
  <c r="I330" i="1"/>
  <c r="L330" i="1" s="1"/>
  <c r="I333" i="1"/>
  <c r="L333" i="1" s="1"/>
  <c r="I334" i="1"/>
  <c r="L334" i="1" s="1"/>
  <c r="I335" i="1"/>
  <c r="L335" i="1" s="1"/>
  <c r="I339" i="1"/>
  <c r="L339" i="1" s="1"/>
  <c r="I340" i="1"/>
  <c r="L340" i="1" s="1"/>
  <c r="I341" i="1"/>
  <c r="L341" i="1" s="1"/>
  <c r="I344" i="1"/>
  <c r="L344" i="1" s="1"/>
  <c r="I345" i="1"/>
  <c r="L345" i="1" s="1"/>
  <c r="I346" i="1"/>
  <c r="L346" i="1" s="1"/>
  <c r="I347" i="1"/>
  <c r="L347" i="1" s="1"/>
  <c r="I348" i="1"/>
  <c r="L348" i="1" s="1"/>
  <c r="I353" i="1"/>
  <c r="L353" i="1" s="1"/>
  <c r="I354" i="1"/>
  <c r="L354" i="1" s="1"/>
  <c r="I355" i="1"/>
  <c r="L355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7" i="1"/>
  <c r="L367" i="1" s="1"/>
  <c r="I368" i="1"/>
  <c r="L368" i="1" s="1"/>
  <c r="I369" i="1"/>
  <c r="L369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81" i="1"/>
  <c r="L381" i="1" s="1"/>
  <c r="I382" i="1"/>
  <c r="L382" i="1" s="1"/>
  <c r="I383" i="1"/>
  <c r="L383" i="1" s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5" i="1"/>
  <c r="L395" i="1" s="1"/>
  <c r="I396" i="1"/>
  <c r="L396" i="1" s="1"/>
  <c r="I397" i="1"/>
  <c r="L397" i="1" s="1"/>
  <c r="I400" i="1"/>
  <c r="L400" i="1" s="1"/>
  <c r="I403" i="1"/>
  <c r="L403" i="1" s="1"/>
  <c r="I404" i="1"/>
  <c r="L404" i="1" s="1"/>
  <c r="I405" i="1"/>
  <c r="L405" i="1" s="1"/>
  <c r="I408" i="1"/>
  <c r="L408" i="1" s="1"/>
  <c r="I409" i="1"/>
  <c r="L409" i="1" s="1"/>
  <c r="I410" i="1"/>
  <c r="L410" i="1" s="1"/>
  <c r="I411" i="1"/>
  <c r="L411" i="1" s="1"/>
  <c r="I414" i="1"/>
  <c r="L414" i="1" s="1"/>
  <c r="I415" i="1"/>
  <c r="L415" i="1" s="1"/>
  <c r="I417" i="1"/>
  <c r="L417" i="1" s="1"/>
  <c r="I418" i="1"/>
  <c r="L418" i="1" s="1"/>
  <c r="I423" i="1"/>
  <c r="L423" i="1" s="1"/>
  <c r="I424" i="1"/>
  <c r="L424" i="1" s="1"/>
  <c r="I425" i="1"/>
  <c r="L425" i="1" s="1"/>
  <c r="I428" i="1"/>
  <c r="L428" i="1" s="1"/>
  <c r="I431" i="1"/>
  <c r="L431" i="1" s="1"/>
  <c r="I432" i="1"/>
  <c r="L432" i="1" s="1"/>
  <c r="I433" i="1"/>
  <c r="L433" i="1" s="1"/>
  <c r="I437" i="1"/>
  <c r="L437" i="1" s="1"/>
  <c r="I438" i="1"/>
  <c r="L438" i="1" s="1"/>
  <c r="I439" i="1"/>
  <c r="L439" i="1" s="1"/>
  <c r="I442" i="1"/>
  <c r="L442" i="1" s="1"/>
  <c r="I443" i="1"/>
  <c r="L443" i="1" s="1"/>
  <c r="I444" i="1"/>
  <c r="L444" i="1" s="1"/>
  <c r="L445" i="1"/>
  <c r="L133" i="1"/>
  <c r="L2" i="5" l="1"/>
  <c r="L480" i="1"/>
  <c r="L479" i="1"/>
  <c r="L493" i="1"/>
  <c r="L478" i="1"/>
  <c r="L492" i="1"/>
  <c r="L477" i="1"/>
  <c r="L475" i="1"/>
  <c r="L474" i="1"/>
  <c r="L488" i="1"/>
  <c r="I487" i="1"/>
  <c r="L487" i="1" s="1"/>
  <c r="L472" i="1"/>
  <c r="I483" i="1"/>
  <c r="L483" i="1" s="1"/>
  <c r="L490" i="1"/>
  <c r="L486" i="1"/>
  <c r="L460" i="1"/>
  <c r="L459" i="1"/>
  <c r="L458" i="1"/>
  <c r="L446" i="1"/>
  <c r="L100" i="1"/>
  <c r="L161" i="1"/>
</calcChain>
</file>

<file path=xl/sharedStrings.xml><?xml version="1.0" encoding="utf-8"?>
<sst xmlns="http://schemas.openxmlformats.org/spreadsheetml/2006/main" count="2580" uniqueCount="693">
  <si>
    <t>Brand</t>
  </si>
  <si>
    <t>Item Code</t>
  </si>
  <si>
    <t>Item Description</t>
  </si>
  <si>
    <t>Department</t>
  </si>
  <si>
    <t>New  Margin</t>
  </si>
  <si>
    <t>High Speed HDMI™ Cable, Plug-Plug, ultra-flexible, gold-plated, Ethernet, 1.0 m</t>
  </si>
  <si>
    <t>High Speed HDMI™ Cable, Plug-Plug, ultra-flexible, gold-plated, Ethernet, 2.0 m</t>
  </si>
  <si>
    <t>High Speed HDMI™ Cable, Pl. - Pl., Fabric, Filter,gold-plated, Ethernet,2 m</t>
  </si>
  <si>
    <t>High Speed HDMI™ Cable, Pl. - Pl., 90°, Fabric, gold-plated, Ethernet,1.5 m</t>
  </si>
  <si>
    <t>Audio Cable, 3.5 mm jack plug/plug, stereo, fabric, gold-plated, 1.5 m</t>
  </si>
  <si>
    <t>Audio Cable, 3.5 mm Jack Plug/Plug, Stereo, Fabric, gold-plated, 3.0 m</t>
  </si>
  <si>
    <t>USB-C Cable, USB 3.1 Gen 2, "Full-Featured", eMarker, 10 Gbit/s, 5A, 1.00 m</t>
  </si>
  <si>
    <t>Audio Cable, 2 RCA plugs - 3.5 mm stereo jack plug, 1.5 m</t>
  </si>
  <si>
    <t>Audio Optical Fibre Cable, ODT plug (Toslink), 1.5 m</t>
  </si>
  <si>
    <t>Audio Optical Fibre Cable, ODT plug (Toslink), 3.0 m</t>
  </si>
  <si>
    <t>Audio Optical Fibre Cable, ODT plug (Toslink), fabric, 1.5 m</t>
  </si>
  <si>
    <t>Audio Optical Fibre Cable, ODT plug (Toslink), fabric, 3.0 m</t>
  </si>
  <si>
    <t xml:space="preserve">High Speed HDMI™ Cable, plug - plug, gold-plated, Ethernet, 1.5 m </t>
  </si>
  <si>
    <t xml:space="preserve">High Speed HDMI™ Cable, plug - plug, gold-plated, Ethernet, 3.0 m </t>
  </si>
  <si>
    <t>Ultra High Speed HDMI™ Cable, 8K, Plug - Plug, Gold-Plated, Fabric, 2.0 m</t>
  </si>
  <si>
    <t>Ultra High Speed HDMI™ Cable, 8K, Plug - Plug, Gold-Plated, Fabric, 3.0 m</t>
  </si>
  <si>
    <t>Avinity Speaker Cable, 2x 1.5 mm², 10 m</t>
  </si>
  <si>
    <t>Speaker Cable, 2x 2.5 mm², 10 m</t>
  </si>
  <si>
    <t>L-Edition High Speed HDMI™ Cable, Plug-Plug, gold-plated, Ethernet, 2.2 m</t>
  </si>
  <si>
    <t>L-Edition Audio Optical Fibre Cable, ODT Plug (Toslink), Fabric, 1.5 m</t>
  </si>
  <si>
    <t>L-Ed. Premium High Speed HDMI™ Cable, Plug-Plug, Gold-Plated, Eth., 1.5 m</t>
  </si>
  <si>
    <t>AVINITY 107586 Cleaning Gel incl. Microfibre Cleaning Cloth</t>
  </si>
  <si>
    <t>HAMA  EASEL DESIGN TV STAND, 191 CM (75”), BLACK 118099</t>
  </si>
  <si>
    <t>HAMA 118103 TV-WB,FM,1-ST,400,2-ARMS</t>
  </si>
  <si>
    <t>HAMA 118104 TV-WH,FIX,1-ST. 400 BL</t>
  </si>
  <si>
    <t>HAMA 118125 TV- WALL BRACKET FM, 165 CM, 400, BL</t>
  </si>
  <si>
    <t>HAMA 118126 TV-WALLBRACKET FM, 165 CM, 600, BL</t>
  </si>
  <si>
    <t>HDTV KIT, HIGH SPEEDHDMI CABLE,ETHERNET,1.5M,CLEAN,GEL,CLEAN CLOTH</t>
  </si>
  <si>
    <t>HAMA 83215 HDMI ST CONNECTOR FOR VGA SOCKET</t>
  </si>
  <si>
    <t>HAMA HIGH SPEED HDMI? CABLE, PLUG - PLUG, ETHERNET, 1.5 M</t>
  </si>
  <si>
    <t>HAMA HIGH SPEED HDMI? CABLE, PLUG - PLUG, ETHERNET, 3.0 M</t>
  </si>
  <si>
    <t>HAMA 122102 HIGHSPEED HDMI™ CABLE,PLUG-PLUG, E-NET,5.0M</t>
  </si>
  <si>
    <t>HIGH SPEED HDMI? CABLE, PLUG - PLUG, ETHERNET, GOLD-PLATED, 10.0 M</t>
  </si>
  <si>
    <t>HAMA 122109 HIGHSPEED HDMI™ CABLE,PLUG-PLUG,E-NET,G-P,15.0 M</t>
  </si>
  <si>
    <t>HIGH SPEED HDMI? CABLE, PLUG - PLUG, ROTATION, GOLD-PLATED, ETHERNET, 1.5 M</t>
  </si>
  <si>
    <t>HIGH SPEED  HDMI CABLE,PLUG,ROTATION,GOLD-PLATED ,ETHERNET,3.0M</t>
  </si>
  <si>
    <t>HIGH SPEED HDMI CABLE, TYPE A PLUG - TYPE D PLUG (MICRO), ETHERNET, 1.5M</t>
  </si>
  <si>
    <t>HIGH SPEED HDMI EXTENSION CABLE,PLUG-SOCKET,ETHERNET,GOLD-PL,3.0M</t>
  </si>
  <si>
    <t>HIGH SPEED HDMI CABLE,PLUG-PLUG,ETHERNET,GOLD-PLATED,2.0M</t>
  </si>
  <si>
    <t>HIGH SPEED HDMI? CABLE, PLUG - PLUG, 90°, ETHERNET, GOLD-PLATED, 2.0 M</t>
  </si>
  <si>
    <t>HIGH SPEED HDMI CABLE,TYPE A PLUG-TYPE C PLUG[MINI],ETHERNET,2.0M</t>
  </si>
  <si>
    <t>HAMA 128225 WORLD TRAVEL ADAPTER</t>
  </si>
  <si>
    <t>HAMA FIX TV WALL BRACKET+LECLERC 163 HDMI KABEL 1.50M+SCREEN CLEANING GEL</t>
  </si>
  <si>
    <t>HAMA FIX TV WALL BRACKET+HDMI CABLE 1.5M</t>
  </si>
  <si>
    <t>HAMA 118626 TV BRACKET229CM90"BLACK,5Stars,XL</t>
  </si>
  <si>
    <t>HAMA Tripod Projection Screen, 125 x 125, white</t>
  </si>
  <si>
    <t>HAMA Tripod Projection Screen, 155 x 155 cm, white</t>
  </si>
  <si>
    <t>HAMA Tripod Projection Screen, 180 x 180 cm, white</t>
  </si>
  <si>
    <t>HAMA Tripod Projection Screen, 200 x 200 cm, 1:1, white</t>
  </si>
  <si>
    <t>HAMA 39863 Micro HDMI™ Adapter, micro HDMI™ plug - HDMI socket</t>
  </si>
  <si>
    <t>HAMA 118127 Full Mtntv Wall Bracket,400X400,65"1 Arm</t>
  </si>
  <si>
    <t>HAMA 56595 H.SPEED HDMI WITH E-NET 1.5M+TV CLEANING GEL</t>
  </si>
  <si>
    <t>HAMA 113806 Cleaning Cloths 100 pcs</t>
  </si>
  <si>
    <t>HAMA 118107 TV-WH,FIX,1-ST.600 BK</t>
  </si>
  <si>
    <t>HAMA High Speed HDMI™ Cable, plug - plug, Ethernet, gold-plated, 3.0 m</t>
  </si>
  <si>
    <t>HAMA High Speed HDMI™ Cable, plug - plug, Ethernet, gold-plated, 7.5 m</t>
  </si>
  <si>
    <t>HAMA 122210 HDMI CABLE 1.5M PREMIUM</t>
  </si>
  <si>
    <t>HAMA 205241 Ultra High Speed HDMI™ Cable, Plug - Plug, 8K, 1.0 m</t>
  </si>
  <si>
    <t>HAMA 205242 Ultra High Speed HDMI™ Cable, Plug - Plug, 8K, 2.0 m</t>
  </si>
  <si>
    <t>HAMA 205243 Ultra High Speed HDMI™ Cable, Plug - Plug, 8K, 3.0 m</t>
  </si>
  <si>
    <t>HAMA Trolley TV Cart, 178 cm (70"), 600x400, black</t>
  </si>
  <si>
    <t>HAMA DisplayPort Cable, DP 1.4, Ultra-HD 8K, Alu, 2.00 m</t>
  </si>
  <si>
    <t>HAMA DisplayPort Cable, DP 1.2, Ultra-HD 4K, 1.50 m</t>
  </si>
  <si>
    <t>HAMA VGA Cable, Full HD 1080 p, 1.50 m</t>
  </si>
  <si>
    <t>HAMA VGA Cable, Full HD 1080 p, 3.00 m</t>
  </si>
  <si>
    <t>HAMA Video Cable, Mini-DP Plug - DisplayPort Plug, Ultra-HD 4K, 1.50 m</t>
  </si>
  <si>
    <t>HAMA Video Cable, DisplayPort Plug - HDMI™ Plug, Ultra-HD 4K, 1.50 m</t>
  </si>
  <si>
    <t>HAMA Audio Cable, USB-C Plug - RCA Plug, Stereo, 1.50 m</t>
  </si>
  <si>
    <t>HAMA High-Speed HDMI™ Cable, 4K, Plug - Plug, Ethernet, 1.5 m</t>
  </si>
  <si>
    <t>HAMA High-Speed HDMI™ Cable, 4K, Plug - Plug, Ethernet, 3.0 m</t>
  </si>
  <si>
    <t>HAMA High-Speed HDMI™ Cable, 4K, Plug - Plug, Ethernet, 5.0 m</t>
  </si>
  <si>
    <t>HAMA High-speed HDMI™ Cable, Plug - Plug, 4K, Ethernet, Gold-plated, 10.0 m</t>
  </si>
  <si>
    <t>HAMA High Speed HDMI™ Cable, Plug-Plug, Rotation, gold-plated, Ethernet, 1.5 m</t>
  </si>
  <si>
    <t>HAMA "Flexi-Slim" High-Speed HDMI™ Cable, 4K, Plug - Plug, Ethernet, 1.5 m</t>
  </si>
  <si>
    <t>HAMA High Speed HDMI™ Cable, Plug Type-A - Plug Type-C (Mini), Ethernet, 1.5 m</t>
  </si>
  <si>
    <t>HAMA  Connecting Cable, HDMI™ Plug - DVI/D Plug, 1.5 m</t>
  </si>
  <si>
    <t>HAMA "Ultra-Slim" High-Speed HDMI™ Cable, 4K, Plug - Plug, Ethernet, 2.0 m</t>
  </si>
  <si>
    <t>HAMA High-speed HDMI™ cable, plug - plug, 90°, Ethernet, gold-plated, 1.5 m</t>
  </si>
  <si>
    <t>HAMA "Flexi-Slim" Spiral Cable, 3.5 mm 90° Jack Plug - Plug, Stereo, 1.5 m</t>
  </si>
  <si>
    <t>HAMA Jack Connection Kit, 2.5 m</t>
  </si>
  <si>
    <t>HAMA Audio Optical Fibre Cable, ODT Plug (Toslink), 1.5 m</t>
  </si>
  <si>
    <t>HAMA Audio Optical Fibre Cable, ODT Plug (Toslink), 3.0 m</t>
  </si>
  <si>
    <t>HAMA Audio Optical Fibre Cable, ODT Plug (Toslink), Metal, 1.5 m</t>
  </si>
  <si>
    <t>HAMA Video Adapter, USB-C Plug - HDMI™ Socket, Ultra-HD 4K</t>
  </si>
  <si>
    <t>HAMA High Speed HDMI™ Cable, Plug - Plug, Ethernet, 1.5 m + HDMI™ adapter</t>
  </si>
  <si>
    <t>HAMA Travel Adapter Kit, 4-Part</t>
  </si>
  <si>
    <t>HAMA Audio Adapter, 2.5 mm Jack Plug - 3.5 mm Jack Socket, Stereo</t>
  </si>
  <si>
    <t>HAMA Ultra High Speed HDMI™ Cable, Plug - Plug, 8K, Metal, 1.0 m</t>
  </si>
  <si>
    <t>HAMA Ultra High Speed HDMI™ Cable, Plug - Plug, 8K, Metal, 2.0 m</t>
  </si>
  <si>
    <t>HAMA Ultra High Speed HDMI™ Cable, Plug - Plug, 8K, Metal, 3.0 m</t>
  </si>
  <si>
    <t xml:space="preserve">Hama 108788 FULLMOTION TV Stand, 165 cm </t>
  </si>
  <si>
    <t>HAMA 54547 VGA+USB CONVERTER FOR HDMI</t>
  </si>
  <si>
    <t>HAMA 42553 HDMI SWITCHER 2*1</t>
  </si>
  <si>
    <t xml:space="preserve">HAMA D3122251 Audio Optical Fibre Cable, ODT plug </t>
  </si>
  <si>
    <t>HAMA 78302 Screen Cleaning Gel, 200 ml, cloth included</t>
  </si>
  <si>
    <t>Hama 43090 Video Conect Cabl,4-Pin 3.5mm Jackplg-3Rca Plg,3M</t>
  </si>
  <si>
    <t>HAMA Roller Projection Screen, 200 x 150 cm, 16:9</t>
  </si>
  <si>
    <t>HAMA FULLMOTION "Ultraslim" TV Wall Bracket, 600x400, 191 cm (75"), black</t>
  </si>
  <si>
    <t>HAMA Spot-Pointer Presenter, Digital Laser Pointer, Spot Illumination, Magnifi</t>
  </si>
  <si>
    <t>HAMA Universal TV Shelf, 30.0 x 12.7 cm, black</t>
  </si>
  <si>
    <t>HAMA FULLMOTION TV Wall Bracket, 3 Stars, 165 cm (65"), 2 arms, ultra-long</t>
  </si>
  <si>
    <t>HAMA Screen Cleaning Spray, 250 ml</t>
  </si>
  <si>
    <t>HAMA  FULLMOTION "Ultraslim" TV Wall Bracket, 400x400, 165 cm (65"), black</t>
  </si>
  <si>
    <t>HAMA FIX TV Wall Bracket, 5 Stars, 229 cm (90"), black</t>
  </si>
  <si>
    <t>High Speed HDMI™ Cable, plug - plug, Ethernet, 1.5 m + 2 HDMI™ adapters</t>
  </si>
  <si>
    <t>Hama 118490 FULLMOTION Monitor Arm, 33 - 81 cm (13" - 32"), 1 Arm, black</t>
  </si>
  <si>
    <t>Hama 43359 Short Audio Adapter, 3.5 mm stereo jack plug - 2 RCA sockets</t>
  </si>
  <si>
    <t>Hama 118075 FULLMOTION "Professional" TV Wall Bracket, 600 x 400 37" to 80", black</t>
  </si>
  <si>
    <t>Hama 118129 "Strong" FIX TV Wall Bracket, 1100x600, 37" to 120", Black</t>
  </si>
  <si>
    <t>Hama 118095 FULLMOTION TV Stand, 600x400 32" to 65" , Black</t>
  </si>
  <si>
    <t>Hama TV STAND, FREE-STANDING EASEL, HEIGHT-ADJUSTABLE, 191 CM (75) UP TO 40 KG</t>
  </si>
  <si>
    <t>Hama EASEL DESIGN TV STAND, 191 CM (75), VARIABLE HEIGHT, WALNUT WOOD LOOK</t>
  </si>
  <si>
    <t>Hama TV Wall Bracket, Swivel, Tilt, Pull-out, 229 cm (90") up to 75 kg</t>
  </si>
  <si>
    <t>Hama TROLLEY TV STAND WITH CASTORS, UP TO 75, HEIGHT-ADJUSTABLE, BLACK</t>
  </si>
  <si>
    <t>Hama UNIVERSAL TV REMOTE CONTROL, INFRA-RED, FOR 8 DEVICES</t>
  </si>
  <si>
    <t>Hama 220831 TV WALL BRACKET, SWIVEL, TILT, PULL-OUT, 213 CM (84) UP TO 50 KG</t>
  </si>
  <si>
    <t>Hama 220832 TV WALL BRACKET, SWIVEL, TILT, PULL-OUT, 165 CM (65) UP TO 30 KG</t>
  </si>
  <si>
    <t>Hama 220830 TV WALL BRACKET, SWIVEL, TILT, PULL-OUT, 165 CM (65) UP TO 40 KG</t>
  </si>
  <si>
    <t>Hama TV Wall Bracket, Swivel, Tilt, Pull-out, 305 cm (120") up to 100 kg</t>
  </si>
  <si>
    <t>Hama Trolley  TV Cart, TV Stand with Castors, 1000x600 49" to 100" , Black</t>
  </si>
  <si>
    <t>HAMA 14152 AUDIO CABLE CONCAB 3.5MM SOFT 1M</t>
  </si>
  <si>
    <t>HAMA 183339 "METAL" CHARGING/DATA CABLE, LIGHTNING, 1.5 M, BLACK</t>
  </si>
  <si>
    <t>HAMA 183309 FAST CHARG/DATA CABLE,USB-C-LIGHTNING,1.5 M,WHITE)</t>
  </si>
  <si>
    <t>HAMA 183329 CHARG/DATA CABLE,USB TYPE-C-USB TYPE-C,1.5 M,BLACK)</t>
  </si>
  <si>
    <t>HAMA 210589 CAR CHARG,USB-C,PD/QC, 30W,USB-A,BK)</t>
  </si>
  <si>
    <t>HAMA  65 WATT CHARGING STATION, UK CABLE, 4-WAY (2X PD USB-C, 2X USB-A)</t>
  </si>
  <si>
    <t>HAMA 4605 FLEXPRO F. S., GOPRO, CAM. BLACK 27</t>
  </si>
  <si>
    <t>HAMA 4609 "FLEX" MINI-TRIPOD FOR SMARTPHONE AND GOPRO, 14 CM, BLACK</t>
  </si>
  <si>
    <t>HAMA 4619 TRIPOD FOR SMARTPHONE/TABLET, 106 - 3D</t>
  </si>
  <si>
    <t>HAMA 4630 "SOLID" TABLE TRIPOD FOR SMARTPHONES AND PHOTO CAMERAS, 19B</t>
  </si>
  <si>
    <t>HAMA 188676 PROTECTIVE GLASS FOR  IPHONE 12</t>
  </si>
  <si>
    <t>HAMA 188677 PROTECTIVE GLASS FOR  IPHONE 12 PRO/ 12 MAX</t>
  </si>
  <si>
    <t>HAMA 188678 PROTECTIVE GLASS FOR  IPHONE 12 PRO MAX</t>
  </si>
  <si>
    <t>HAMA 188809 PROTECTOR COVER FOR  IPHONE 12, BLACK</t>
  </si>
  <si>
    <t>HAMA 188826 PROTECTOR COVER FOR  IPHONE 12 PRO/12 MAX, BLACK</t>
  </si>
  <si>
    <t>HAMA 188840 PROTECTOR COVER FOR  IPHONE 12 PRO MAX, BLACK</t>
  </si>
  <si>
    <t>HAMA 188321 "QI-FC10" WIRELESS CHARGER,
SET OF 2, BLACK</t>
  </si>
  <si>
    <t>HAMA 178400 MICRO USB ADPTR IPH LIGHTN
PLUG,MFI/BLK</t>
  </si>
  <si>
    <t>HAMA 178396 CHARG/DATA CABLE,USB TYPE-C-USB 3.1 A PLG,1.5 M,BLACK</t>
  </si>
  <si>
    <t>Hama 188671 Premium Crystal Glass screen Protector iphone 12 Pro</t>
  </si>
  <si>
    <t>Hama 188672 Premium Crystal Glass Screen Protector iPhone 12 Pro Max</t>
  </si>
  <si>
    <t>HAMA 183353 "PD-12S" POWER PACK, 12000 MAH, ANTHRACITE</t>
  </si>
  <si>
    <t>Hama 183355 PA12 Power Pack, 12000 mAh, gold</t>
  </si>
  <si>
    <t>HAMA 188308 "SUPREME 20HD" POWER PACK, 20000 MAH</t>
  </si>
  <si>
    <t>Hama 188307+188307 Sup 10HD Pwrpack 10000mAh Bundle</t>
  </si>
  <si>
    <t>HAMA 183358 "PD-27W60" LAPTOP POWER PACK, 26800 MAH, ANTHRACITE</t>
  </si>
  <si>
    <t>HAMA 188318 "QI-FC10" WIRELESS CHARGER, BLACK</t>
  </si>
  <si>
    <t>Hama 183357 softtouch Powerpack 10400 mAh, white</t>
  </si>
  <si>
    <t>HAMA 188307 "SUPREME 10HD" POWER PACK, 10000 MAH</t>
  </si>
  <si>
    <t>HAMA 73210583 Charging Kit, Lightning, Power Delivery (PD), 20 Watt, UK Plug, white</t>
  </si>
  <si>
    <t>HAMA 73210584 Charging Kit, USB-C, PD / Qualcomm®, 20 W + USB-C Cable, 1 m, UK Plug, blac</t>
  </si>
  <si>
    <t>HAMA 73210586 Charging Kit, Lightning, 17 W, UK Plug, white</t>
  </si>
  <si>
    <t>HAMA 73210587 "Dual" Charging Kit with USB Charger, 2.4 A, and Micro-USB Cable, black</t>
  </si>
  <si>
    <t>Hama 178600 Fit Track 1900 Pulse,Cal,Sleep Analys</t>
  </si>
  <si>
    <t>Hama 178602 Fit Track 5900 Pulse,Ip65,Gps</t>
  </si>
  <si>
    <t>HAMA 187206 2-in-1 USB-C audio and charging adapter,adapter for 3.5 mm audio jack,black</t>
  </si>
  <si>
    <t>HAMA 14163 FM Transmitter with AUX-IN</t>
  </si>
  <si>
    <t>Hama 173863 Charging/Data Cable Lightning 1m white</t>
  </si>
  <si>
    <t>Hama 173610 Charging/Data Cable MicroUSB 1.4m black</t>
  </si>
  <si>
    <t>HAMA 73210588 Charger, Power Delivery (PD) / Qualcomm®, 20 Watt, UK Plug, white</t>
  </si>
  <si>
    <t>HAMA 73173621 MIC-USB CHARGER 2.4 A</t>
  </si>
  <si>
    <t>HAMA 178281 Charging/Data Cable, USB Type-C, 0.2 m, black</t>
  </si>
  <si>
    <t>Hama 188301 Magnet Vent Universal Smartphone Holder</t>
  </si>
  <si>
    <t>HAMA 135803 "FLIPPER" SMARTPHONE HOLDER</t>
  </si>
  <si>
    <t>HAMA 178327 MICRO USB CABLE TYPE C 2IN 1</t>
  </si>
  <si>
    <t>Hama 187264 MagCharge FC15 Wireless Charger 15W White</t>
  </si>
  <si>
    <t>Hama 210508 MagLock Vent Car Mobile Phone Holder Black</t>
  </si>
  <si>
    <t>Hama 210509 MagLock Car Mobile Phone Holder Black</t>
  </si>
  <si>
    <t>Hama 187292 Supreme 20HD" Power Pack, 20000 mAh</t>
  </si>
  <si>
    <t>Hama 187291BUNDLE Hama 187291+187291 Slim Powerpack 10000mAh Bundle</t>
  </si>
  <si>
    <t>HAMA 104990 "SUPREME 20HD" POWER PACK, 20000 mAh</t>
  </si>
  <si>
    <t>Hama 187238 ALU15HD Power Pack,15000 mAh, Anthracite</t>
  </si>
  <si>
    <t>Hama 187261 PD10-HD Power Pack,10000 mAh, Anthracite</t>
  </si>
  <si>
    <t>Hama 187289 PD20-HD Power Pack,20000 mAh, Anthracite</t>
  </si>
  <si>
    <t>Hama 187288 LED10 Power Pack,10000 mAh, Anthracite</t>
  </si>
  <si>
    <t>HAMA 4635 Solid Ii 21B Table Tripod</t>
  </si>
  <si>
    <t>HAMA Spotlight102 Led Ring Light,Foldable,10.2"</t>
  </si>
  <si>
    <t>HAMA Universal USB-C Power Pack, 26800 mAh PD 60W</t>
  </si>
  <si>
    <t>HAMA Car Charging Set, Lightning, Power Delivery (PD), 20W, white</t>
  </si>
  <si>
    <t>HAMA Passion Clear Bluetooth ANC True Wireless Earbuds, Black</t>
  </si>
  <si>
    <t>HAMA Passion Clear Bluetooth ANC True Wireless Earbuds, White</t>
  </si>
  <si>
    <t>HAMA MagCase Finest Feel PRO Cover for Apple iPhone 14, black</t>
  </si>
  <si>
    <t>HAMA MagCase Finest Feel PRO Cover for Apple iPhone 14, red</t>
  </si>
  <si>
    <t>HAMA MagCase Finest Feel PRO Cover for Apple iPhone 14 Pro, red</t>
  </si>
  <si>
    <t>HAMA MagCase Finest Feel PRO Cover for Apple iPhone 14 Plus, black</t>
  </si>
  <si>
    <t>HAMA MagCase Finest Feel PRO Cover for Apple iPhone 14 Plus, red</t>
  </si>
  <si>
    <t>HAMA MagCase Finest Feel PRO Cover for Apple iPhone 14 Pro, black</t>
  </si>
  <si>
    <t>HAMA MagCase Finest Feel Pro Cover for Apple iPhone 14 Pro Max, black</t>
  </si>
  <si>
    <t>HAMA MagCase Finest Feel Pro Cover for Apple iPhone 14 Pro Max, red</t>
  </si>
  <si>
    <t>HAMA MagCase Safety Cover for Apple iPhone 14, transparent</t>
  </si>
  <si>
    <t>HAMA MagCase Safety Cover for Apple iPhone 14 Pro, transparent</t>
  </si>
  <si>
    <t>HAMA MagCase Safety Cover for Apple iPhone 14 Plus, transparent</t>
  </si>
  <si>
    <t>HAMA MagCase Safety Cover for Apple iPhone 14 Pro Max, transparent</t>
  </si>
  <si>
    <t>Hama 183279 Anti-Slip Pad for Smartphones, black</t>
  </si>
  <si>
    <t>Hama 73210293 Mini GaN Charger UK, 65W,GaN,PD/QC,White</t>
  </si>
  <si>
    <t>Hama 73210296 Mini Charger Kit UK,35W,2xUSB-C,White</t>
  </si>
  <si>
    <t>Hama 73210294 Mini GaN Charger Kit UK,45W,GaN,PD/QC,White</t>
  </si>
  <si>
    <t>Hama 201674 "QI-FC15" Wireless Charging PAD, 15 W, black</t>
  </si>
  <si>
    <t>Hama Charging Kit, Lightning, Power Delivery (PD), 20 Watt + 10000 mAh Power bank-PD - Black</t>
  </si>
  <si>
    <t>Hama Charging Kit, USB-C, PD 20 W + 10000 mAh Power bank-PD - Black</t>
  </si>
  <si>
    <t>HAMA BUNDLE PACK HAMA 134960 AMW200 WLS MOUSE+AKY CBH37 USB-A 4PORT HUB</t>
  </si>
  <si>
    <t>Hama Urban BackPack 15.6 Inch Grey + Mice Bundle Pack</t>
  </si>
  <si>
    <t>Hama REC 200 HD STREAMING WEBCAM-186005</t>
  </si>
  <si>
    <t>HAMA 135761 12-IN-1 USB-C DOCKING STATION FOR USB, HDMI™, DP, LAN, SD, MICROSD, JACK</t>
  </si>
  <si>
    <t>HAMA 135764 7IN1-USB-C DOCKING STATION</t>
  </si>
  <si>
    <t>HAMA 135765 9-IN-1 USB-C DOCKSTATION FOR 4 X USB-A,USB-C,HDMI™,LAN,SD,MICROSD</t>
  </si>
  <si>
    <t>HAMA 182600 WIRED PC MICE</t>
  </si>
  <si>
    <t>HAMA 182618 "MW-110" OPTICAL WIRELESS MOUSE, 3 BUTTONS, BLACK</t>
  </si>
  <si>
    <t>HAMA 182623 3-BUTTON MOUSE,MW300,LIME YELLOW</t>
  </si>
  <si>
    <t>HAMA 182626 6-BUTTON MOUSE MW400, BLACK</t>
  </si>
  <si>
    <t>HAMA 182664 "Cortino" Wireless Keyboard/Mouse Set</t>
  </si>
  <si>
    <t>HAMA 134958 "Cortino" Keyboard/Mouse Set, Cabled, GULF</t>
  </si>
  <si>
    <t>HAMA 182670 7-BUTTON MOUSE MW800,BORDEAUX</t>
  </si>
  <si>
    <t>HAMA 182676 Whisper-quiet mouse and keyboard</t>
  </si>
  <si>
    <t>HAMA 182699 ERGONOMIC MOUSE, EMW-500, BLACK</t>
  </si>
  <si>
    <t>HAMA 139925 "HS-P300" PC OFFICE HEADSET, STEREO, BLACK</t>
  </si>
  <si>
    <t>HAMA 139926 "HS-P350" PC OFF HEADSET, STEREO, BLACK</t>
  </si>
  <si>
    <t>HAMA 139927 "HS-USB400" PC Office Headset, Stereo, black</t>
  </si>
  <si>
    <t>HAMA 12325  1:4 USB 3.1 Hub incl. USB-C Adapter, Bus-Powered, black</t>
  </si>
  <si>
    <t>HAMA 53064-"Aluminium" Notebook Stand Cooler pad</t>
  </si>
  <si>
    <t>Hama 53065 "Black" Notebook Stand Cooler pad</t>
  </si>
  <si>
    <t>Hama 54513 DisplayPort Cable, shielded, 1.80M</t>
  </si>
  <si>
    <t>HAMA 101845 "CAMO SELECT"  BACKPACK, 40 CM BLUE</t>
  </si>
  <si>
    <t>HAMA 123590 USB 3.1 TYPE C  USB A FEMALE CABLE 0.15m</t>
  </si>
  <si>
    <t>HAMA 135729  4-in-1 USB-C Multi Adapter for 2x USB 3.1, HDMI and USB-C</t>
  </si>
  <si>
    <t>Hama USB-3.1 Type-C Hub 1:3 , 2x USB-A, USB-C, HDMI™, bus-powered</t>
  </si>
  <si>
    <t>HAMA 139915 Wireless laser presenter “X-Pointer”</t>
  </si>
  <si>
    <t>HAMA 182620 "MW-300" Optical Wireless Mouse, 3 Buttons, black</t>
  </si>
  <si>
    <t>HAMA 185216 CAT-7 network cable Double Shielded 3M</t>
  </si>
  <si>
    <t>Hama D3045040 Usb2 Ext.Cable,Shield 3Mtr</t>
  </si>
  <si>
    <t>HAMA 12192 Universal Notebook Power Supply, 15-19 V/90 W</t>
  </si>
  <si>
    <t>HAMA 41934 MONITOR VGA CABLE 3MTR</t>
  </si>
  <si>
    <t>HAMA 45054 CAT 6 NETWORK CABLE PIMF,G-P,2 SHIELDED,5M</t>
  </si>
  <si>
    <t>HAMA 45056 CAT 6 NETWORK CABLE PIMF, G-P,2 ,10M</t>
  </si>
  <si>
    <t>HAMA 45057 CAT 6 NETWORK CABLE PIMF,G-P,2 SHIELDED,15M</t>
  </si>
  <si>
    <t>HAMA 53245 3in1 Mini DisplayPort Adapter for DVI, Displayport , HDMI</t>
  </si>
  <si>
    <t>HAMA 57198  Hama "CS-198" Desktop Microphone</t>
  </si>
  <si>
    <t>HAMA 135726 USB-C ADAPTER FOR HDMI ULTRA HD</t>
  </si>
  <si>
    <t>HAMA 135727 USB-C ADAPTER FOR VGA FULL HD</t>
  </si>
  <si>
    <t>HAMA 135757 USB 3.1 Type-C Hub 1:3 "Aluminium", 2 x USB-A, USB-C, LAN</t>
  </si>
  <si>
    <t>HAMA "Manchester" Notebook Backpack (15.6"), black+inearphone+mouse</t>
  </si>
  <si>
    <t>HAMA "Manchester" Notebook Bag,  (13.3"), black+inearphone+mouse</t>
  </si>
  <si>
    <t>HAMA "Manchester" Notebook Bag, (14.1"), black+inearphone+mouse</t>
  </si>
  <si>
    <t>HAMA "Cape Town" 2-in-1 Backpack 15.6" +Wireless Mouse</t>
  </si>
  <si>
    <t>Hama 139999 HS-USB300/C400 On Ear PC Headset W/Webcam Black</t>
  </si>
  <si>
    <t>HAMA D3045052 Cat-6 Pimf N.Work Cable,Gp,2-Shield, 1.50M</t>
  </si>
  <si>
    <t>HAMA D3045053 Cat-6 PIMF Network Cable GP D/S 3M</t>
  </si>
  <si>
    <t>HAMA D3045054 CAT-6 PIMF Network Cable GP D/S 5M</t>
  </si>
  <si>
    <t>HAMA "Fold Clear" Tablet Case with Pen Comp. for Apple iPad Pro 11" (2020/2021)</t>
  </si>
  <si>
    <t>HAMA "Fold Clear" Tablet Case with Pen Compartment. f. iPad Pro12.9" (5th gen./2021</t>
  </si>
  <si>
    <t>HAMA "Fold Clear" Tablet Case for Apple iPad Pro 11" (2020/2021), black</t>
  </si>
  <si>
    <t>HAMA "Fold Clear" Tablet Case for Apple iPad Pro 12.9" (5th gen./2021), black</t>
  </si>
  <si>
    <t>HAMA "Fold Clear" Tablet Case for Apple iPad Pro 12.9" (5th gen./2021), lilac</t>
  </si>
  <si>
    <t>HAMA "Premium" Screen Protection Glass for Apple iPad Pro 11” (2020/2021)</t>
  </si>
  <si>
    <t>HAMA "Premium" Screen Protection Glass for Apple iPad Pro 12.9” (2018/2020/2021)</t>
  </si>
  <si>
    <t>HAMA Fold Clear Tablet Case for Apple iPad Pro 11" (2020/2021), red</t>
  </si>
  <si>
    <t>HAMA Fold Clear Tablet Case for Apple iPad Pro 12.9" (5th gen./2021), red</t>
  </si>
  <si>
    <t>HAMA 200106 12in1 USB Docking Station/Notebook Stand</t>
  </si>
  <si>
    <t>HAMA D3053752 Cat 6 Network Cable Stp,Gp,2-Shield,5Mtr</t>
  </si>
  <si>
    <t>HAMA D3053754 Cat 6 Network Cable Stp,Gp,2-Shield,10Mtr</t>
  </si>
  <si>
    <t>* HAMA 52344 Piccino Wireless Laser Presenter</t>
  </si>
  <si>
    <t>HAMA 54563 Adapter Cable, mini DisplayPort plug - DisplayPort plug, gold-pl., 1.80 m</t>
  </si>
  <si>
    <t>HAMA 54777 ergonomic Mouse Pad, Mini, black</t>
  </si>
  <si>
    <t>HAMA 122214 DisplayPort Adapter Cable for HDMI™, Ultra HD, 1.80 m</t>
  </si>
  <si>
    <t>HAMA 182621 MW300 Optical Wireless Mouse 3 Buttons anthracite</t>
  </si>
  <si>
    <t>CAT-7 network cable, double shielded, 2.00 m</t>
  </si>
  <si>
    <t>HAMA 73050176 Shredder Premium X6M</t>
  </si>
  <si>
    <t>HAMA 73050316 LAMINATOR L410 , DIN A4</t>
  </si>
  <si>
    <t>Hama 200660 Thunderbolt USB-C To USB-C Cable 0.5m Black</t>
  </si>
  <si>
    <t>Hama 200661 Thunderbolt USB-C To USB-C Cable 1m Black</t>
  </si>
  <si>
    <t>Hama 54460 On Ear Gaming Headset White</t>
  </si>
  <si>
    <t>HAMA 135717 USB-C ADAPTER FOR 3.5 MM AUDIO JACK</t>
  </si>
  <si>
    <t>Hama 181018 USB 3.0 Multi Card Reader Black</t>
  </si>
  <si>
    <t>Hama 183333 USB-C To USB-C Cable 0.2m Black</t>
  </si>
  <si>
    <t>Video Adapter, 2 in 1, USB-C Plug - VGA &amp; HDMI™ Socket, Ultra-HD 4K</t>
  </si>
  <si>
    <t>Audio Adapter, USB-C Plug - 3.5 mm Jack Socket, Stereo</t>
  </si>
  <si>
    <t>Audio Adapter, 2 in 1, USB-C Plug - 3.5 mm Jack / USB-C Socket, Audio + Cha</t>
  </si>
  <si>
    <t>Video Adapter, 2in1, Mini DisplayPort Plug - VGA &amp; HDMI™ Socket,Ultra-HD 4K</t>
  </si>
  <si>
    <t>Video Adapter, 2 in 1, DisplayPort Plug - VGA &amp; HDMI™ Socket, Ultra-HD 4K</t>
  </si>
  <si>
    <t>Video Adapter, DisplayPort Plug - VGA Socket, Full-HD 1080p</t>
  </si>
  <si>
    <t>Video Adapter Set, 6 in 1, USB-C, Mini-DisplayPort, HDMI™, VGA, alu</t>
  </si>
  <si>
    <t>USB-C Hub, Multiport, 4 Ports, 2 x USB-A, USB-C, HDMI™</t>
  </si>
  <si>
    <t>USB-C Docking Station with Removable Feet, 9 Ports</t>
  </si>
  <si>
    <t>USB-C Hub, Multiport, 4 Ports, 3 x USB-A, HDMI™</t>
  </si>
  <si>
    <t>Hama HDMI™ Adapter, Micro-HDMI™ Plug - HDMI™ Socket, Ultra-HD 4K</t>
  </si>
  <si>
    <t>Hama HDMI™ Adapter, Mini-HDMI™ Plug - HDMI™ Socket, Ultra-HD 4K</t>
  </si>
  <si>
    <t>Video Adapter, HDMI™ Plug - VGA Socket, Audio Socket, Full-HD 1080p</t>
  </si>
  <si>
    <t>"Full-Featured" USB-C Cable, E-Marker, USB 3.2 Gen 1, 5 Gbit/s, 1.50 m</t>
  </si>
  <si>
    <t>"Full-Featured" USB-C Cable, eMarker, USB 3.2 Gen2, 10 Gbit/s, 1.00 m</t>
  </si>
  <si>
    <t>Video Adapter, USB-C Plug - HDMI™ Socket, Ultra-HD 4K</t>
  </si>
  <si>
    <t>USB-C Cable, USB-C Plug – USB-A Plug, USB 3.2 Gen 1, 5 Gbit/s, 3.00 m</t>
  </si>
  <si>
    <t>Network Cable, CAT 8, 40 Gbit/s, S/FTP Shielded, Halogen-free, 5.00 m</t>
  </si>
  <si>
    <t>USB-C Cable, USB-C Plug – USB-A Plug, USB 3.2 Gen 1, 5 Gbit/s, 1.50 m</t>
  </si>
  <si>
    <t>USB-C Hub, Multiport, 8 Ports, 3 x USB-A, 2 x USB-C, VGA, HDMI™, LAN</t>
  </si>
  <si>
    <t>Video Adapter, Mini DisplayPort Plug - HDMI™ Socket, Ultra-HD 4K</t>
  </si>
  <si>
    <t>Video Adapter, DisplayPort Plug - HDMI™ Socket, Ultra-HD 4K</t>
  </si>
  <si>
    <t>Video Adapter, Mini DisplayPort Plug - DisplayPort Socket, Ultra-HD 4K</t>
  </si>
  <si>
    <t>Network Cable, CAT-8, 40 Gbit/s, S/FTP Shielded, Halogen-free, 3.00 m</t>
  </si>
  <si>
    <t>Network Cable, CAT 8, 40 Gbit/s, S/FTP Shielded, Halogen-free, 1.50 m</t>
  </si>
  <si>
    <t>USB-C Hub, Multiport, 6 Ports, 2 x USB-A, USB-C, HDMI™, SD, microSD</t>
  </si>
  <si>
    <t>Network Cable, CAT 6a, 10 Gbit/s, U/UTP, 1.50 m</t>
  </si>
  <si>
    <t>Network Cable, CAT 6a, 10 Gbit/s, U/UTP, 3.00 m</t>
  </si>
  <si>
    <t>Network Cable, CAT 6a, 10 Gbit/s, U/UTP, 5.00 m</t>
  </si>
  <si>
    <t>Network Cable, CAT 6a, 10 Gbit/s, U/UTP, 10.00 m</t>
  </si>
  <si>
    <t>USB-C Hub, Multiport, 5 Ports, 2 x USB-A, USB-C, HDMI™, LAN/Ethernet</t>
  </si>
  <si>
    <t>USB-C Hub, 4 Ports, USB 3.2 Gen1, 5 Gbit/s, alu, ultra-slim</t>
  </si>
  <si>
    <t>USB-C Hub, Multiport, 7 Ports, 3 x USB-A, USB-C, VGA, HDMI™, LAN/Ethernet</t>
  </si>
  <si>
    <t>USB-C Hub, 4 Ports, USB 3.2 Gen 2, 10 Gbit/s, alu</t>
  </si>
  <si>
    <t>USB-C Hub, 4 Ports, USB 3.2 Gen 1, 5 Gbit/s</t>
  </si>
  <si>
    <t>Hama USB Hub, 4 Ports, USB 3.2 Gen 1, 5 Gbit/s, incl. USB-C Adapter</t>
  </si>
  <si>
    <t>USB Hub/Card Reader, 5 Ports, 3 x USB-A, SD, microSD</t>
  </si>
  <si>
    <t>Network Adapter, USB-C Plug - LAN/Ethernet Socket, Gigabit Ethernet</t>
  </si>
  <si>
    <t>Network Adapter, USB Plug - LAN/Ethernet Socket, Fast Ethernet</t>
  </si>
  <si>
    <t>Video Adapter, Mini DisplayPort Plug - VGA Socket, Full-HD 1080p</t>
  </si>
  <si>
    <t>Video Adapter, HDMI™ Plug - DVI Socket, Ultra-HD 4K</t>
  </si>
  <si>
    <t>Video Adapter, HDMI™ Plug - VGA Socket, Full HD 1080p</t>
  </si>
  <si>
    <t>Audio Splitter, 3.5 mm Jack Plug - 2 x 3.5 mm Jack Socket, Stereo</t>
  </si>
  <si>
    <t>Network Cable, CAT 6a, 10 Gbit/s, U/UTP, Flat, 5.00 m</t>
  </si>
  <si>
    <t>Network Cable, CAT 6a, 10 Gbit/s, U/UTP, Flat, 10.00 m</t>
  </si>
  <si>
    <t>Network Cable, CAT 6a, 10 Gbit/s, U/UTP, Flat, 15.00 m</t>
  </si>
  <si>
    <t>Hama D3045021 USB 2.0 Cable, shielded, grey, 1.80 m</t>
  </si>
  <si>
    <t>Hama D3045022 USB 2.0 Cable, shielded, grey, 3.00 m</t>
  </si>
  <si>
    <t>Hama 49218 Bluetooth USB adapter, version 4.0 C2 + EDR</t>
  </si>
  <si>
    <t>Hama 182627 "MW-400" Optical 6-Button Wireless Mouse, anthracite</t>
  </si>
  <si>
    <t xml:space="preserve"> HAMA MW-400 OPTICAL 6-BUTTON WIRELESS MOUSE, RED</t>
  </si>
  <si>
    <t>Hama 182632 "MW-500" Optical 6-Button Wireless Mouse, black</t>
  </si>
  <si>
    <t>Hama 182633 "MW-500" Optical 6-Button Wireless Mouse, anthracite</t>
  </si>
  <si>
    <t>Hama 182617 "MW-650" Optical 6-Button Multi USB-A / Bluetooth  Mouse, black</t>
  </si>
  <si>
    <t>Hama D3182677"KMW-700" Wireless Keyboard / Mouse Set, anthracite/black, Gulf</t>
  </si>
  <si>
    <t>HAMA 73200006 Universal USB-C Notebook PSU, UK Cable, (PD) 5-20V/65W</t>
  </si>
  <si>
    <t xml:space="preserve">Hama 53049 "Wave" Notebook Cooler </t>
  </si>
  <si>
    <t xml:space="preserve">Hama 182645 "Riano" left-handed mouse, black </t>
  </si>
  <si>
    <t xml:space="preserve">Hama 196602 "Terra" notebook sleeve, up to 34 cm (13.3"), grey </t>
  </si>
  <si>
    <t xml:space="preserve">Hama 216502 "Neoprene" laptop sleeve, up to 30 cm (11.6"), black </t>
  </si>
  <si>
    <t xml:space="preserve">Hama 216503 "Neoprene" laptop sleeve, up to 34 cm (13.3"), black </t>
  </si>
  <si>
    <t xml:space="preserve">Hama 216504 "Neoprene" laptop sleeve, up to 36 cm (14.1"), black </t>
  </si>
  <si>
    <t xml:space="preserve">Hama 217106 "Jersey" laptop sleeve, up to 34 cm (13.3"), dark grey </t>
  </si>
  <si>
    <t xml:space="preserve">Hama 217107 "Jersey" laptop sleeve, up to 36 cm (14.1"), dark grey </t>
  </si>
  <si>
    <t xml:space="preserve">Hama 216563 "Toronto" laptop bag, up to 34 cm (13.3"), black </t>
  </si>
  <si>
    <t>Hama 101909MW3 Toronto Notebook Bag, 14.1"+ Wireless Mouse</t>
  </si>
  <si>
    <t>Hama 139924 "HS-USB300" PC Office Headset, Stereo, black</t>
  </si>
  <si>
    <t xml:space="preserve">Hama 216529 BUNDLE Nizza laptop bag 14.1" + Wireless Mouse + Inear Headphone </t>
  </si>
  <si>
    <t>Hama 205143-USB-C Cable,USB-C Plug-USB-A Plug, USB 3.2 Gen 1,5Gbit/s,1.50m</t>
  </si>
  <si>
    <t>Hama AMW-200 Optical 3-Button Wireless Mouse, anthracite / black 134960</t>
  </si>
  <si>
    <t>Hama KMW-600 Wireless Keyboard / Mouse Set, black / anthracite, Gulf D3182685</t>
  </si>
  <si>
    <t>E.V.A. Hard Drive Case, 2.5", Black 95546</t>
  </si>
  <si>
    <t>Hama USB Cable, USB 2.0, 480 Mbit/s, 1.50 m</t>
  </si>
  <si>
    <t>Hama USB Cable, USB 2.0, 480 Mbit/s, 3 m</t>
  </si>
  <si>
    <t>Hama Toronto laptop bag, up to 36 cm (14.1"), black</t>
  </si>
  <si>
    <t>Hama Toronto Notebook Sleeve, up to 36 cm (14.1"), grey/blue</t>
  </si>
  <si>
    <t>Hama Nizza laptop bag, up to 36 cm (14.1"), black</t>
  </si>
  <si>
    <t>Hama Neoprene Notebook Sleeve, up to 40 cm (15.6"), Grey</t>
  </si>
  <si>
    <t>Hama Neoprene Notebook Sleeve, up to 40 cm (15.6"), Blue</t>
  </si>
  <si>
    <t>Hama Perth Notebook Backpack, up to 40 cm (15.6"), dark blue</t>
  </si>
  <si>
    <t>Hama GENUA Laptop Backpack, up to 40 cm (15.6"), Grey</t>
  </si>
  <si>
    <t>Hama MW-400 V2 Ergonomic Optical 6-Button Wireless Mouse, black</t>
  </si>
  <si>
    <t>Hama MW-300 V2 Optical 3-Button Wireless Mouse, black</t>
  </si>
  <si>
    <t>Hama 173032 MW-500 RECHARGE OPTICAL 6-BUTTON WIRELESS MOUSE, BATTERY, BLACK</t>
  </si>
  <si>
    <t>Hama 173033 MW-500 RECHARGE OPTICAL 6-BUTTON MOUSE, RECHARGEABLE BATTERY, Red</t>
  </si>
  <si>
    <t>Hama USB-C HUB, MULTIPORT, 6 PORTS, 3 X USB-A, USB-C, HDMI, LAN/ETHERNET</t>
  </si>
  <si>
    <t>HAMA TAYRONA NOTEBOOK / TABLET SLEEVE, UP TO 28 CM (11), DARK GREY</t>
  </si>
  <si>
    <t>HAMA TAYRONA NOTEBOOK SLEEVE, UP TO 40 CM (15.6), LIGHT GREY</t>
  </si>
  <si>
    <t>HAMA X-Pointer 6in1" Wireless Laser Presenter</t>
  </si>
  <si>
    <t>HAMA EMW-700 Ergonomic vertical wireless mouse - Anthracite</t>
  </si>
  <si>
    <t>HAMA Wireless Keyboard and Mouse Set- WKM-200,black, English/Arabic Layout</t>
  </si>
  <si>
    <t>HAMA Wireless Keyboard and Mouse Set- WKM-550,black, English/Arabic Layout</t>
  </si>
  <si>
    <t>HAMA Wireless Keyboard and Mouse Set- WKM-550,white, English/Arabic Layout</t>
  </si>
  <si>
    <t>HAMA WKM-750 Multi-Device Keyboard/Mouse Set, Wireless, LED, blk, QWERTY GULF</t>
  </si>
  <si>
    <t>HAMA PCACC3+B4M Rise urban backpack 15.6" + Music Earphone</t>
  </si>
  <si>
    <t>HAMA 113735 "uRage Reaper nxt." Gaming Mouse</t>
  </si>
  <si>
    <t>uRage 186031 "Lethality 150 Speed" Gaming Mouse Pad</t>
  </si>
  <si>
    <t>uRage 186033 Urage Reaper Neo Gaming Mouse</t>
  </si>
  <si>
    <t>uRage 186050 Reaper 210 Gaming Mouse</t>
  </si>
  <si>
    <t>uRage 186051 Reaper220 Illuminated Gaming Mouse</t>
  </si>
  <si>
    <t>uRage 186052 "Reaper 310" Gaming Mouse</t>
  </si>
  <si>
    <t>uRage 186054 Reaper 500 Gaming Mouse</t>
  </si>
  <si>
    <t>uRage USB Mic Strm400 Plus</t>
  </si>
  <si>
    <t>uRage Stream 700 Hd Gaming Microphone</t>
  </si>
  <si>
    <t>uRage Stream 800 HD Studio Streaming Microphone</t>
  </si>
  <si>
    <t>uRage USB Microphone</t>
  </si>
  <si>
    <t>uRage Stream 750HD Illuminated Streaming Microphone</t>
  </si>
  <si>
    <t>uRage Stream 100 Gaming Microphone</t>
  </si>
  <si>
    <t>uRage U8186040 Exodus 300 Illuminated" Gaming Keyboard</t>
  </si>
  <si>
    <t>uRage 1,000 Morph unleashed Gaming Mouse</t>
  </si>
  <si>
    <t>URAGE SoundZ 320 7.1" Gaming Headset, black</t>
  </si>
  <si>
    <t>URAGE SoundZ 200 Gaming Headset, black)</t>
  </si>
  <si>
    <t>Urage Game HS+Game Mic+Game keybord Bundle</t>
  </si>
  <si>
    <t>Urange D3186014 Exodus 900 Mechanical" Gaming Keyboard, brown switches</t>
  </si>
  <si>
    <t>Urange D3186011 Exodus 700 Semi-Mechanical" Gaming Keyboard</t>
  </si>
  <si>
    <t>HAMA D3186040 Exodus 300 Illuminated" Gaming Keyboard</t>
  </si>
  <si>
    <t>HAMA 186038 "Vendetta 100" Game Pad</t>
  </si>
  <si>
    <t>HAMA 173186 BT SOUNDCUP-D MOBILE LOUDSPEAKER, BLACK</t>
  </si>
  <si>
    <t>HAMA 54486 PS4 HEADSET INSOMNIA COAL</t>
  </si>
  <si>
    <t>AUDIO OPTICAL FIBRE CABLE, ODT PLUG (TOSLINK), 1.5 M</t>
  </si>
  <si>
    <t>AUDIO OPTICAL FIBRE CABLE,ODT PLUG [TOSLINK] ,GOLD-PLATED,5.0M</t>
  </si>
  <si>
    <t>AUDIO OPTICAL FIBRE CABLE, ODT PLUG (TOSLINK), METAL, 3.0 M</t>
  </si>
  <si>
    <t>AUDIO CABLE,3.5MM JACK PLUG-2 RCA PLUGS,STEREO,GOLD-PLATED,1.5M</t>
  </si>
  <si>
    <t>RCA CONNECTION KIT, 2.5 M</t>
  </si>
  <si>
    <t>AUDIO OPTICAL FIBRE CABLE, ODT PLUG (TOSLINK), METAL, 2.0 M</t>
  </si>
  <si>
    <t>HAMA 177057 "STYLE" BT HEADPHONES,IN-EAR,TWS,VOICE CONTROL,MICRO</t>
  </si>
  <si>
    <t>HAMA 177094 "RUN BT"SPORTS HEADPHONES, IN EAR, MIC,EAR HOOK, BLACK</t>
  </si>
  <si>
    <t>HAMA HDMUSIC IN-EAR ST EARPHONE-177099</t>
  </si>
  <si>
    <t>HAMA 184020 "CONNECT" BT HEADPHONES,INEAR,MICRO, EAR HOOK, BLACK</t>
  </si>
  <si>
    <t>HAMA 186007 "SOUNDZ 100" GAMING HEADSET, BLACK</t>
  </si>
  <si>
    <t>HAMA 186023 SOUNDZ 310 GAMING HEADSET, BLACK</t>
  </si>
  <si>
    <t>HAMA 186344 RA.CON.WALL CL.THERMO/HYGROMETER PG-300</t>
  </si>
  <si>
    <t>HAMA 186379 LCD THERMO-/HYGROM.TH-200</t>
  </si>
  <si>
    <t>JOY IN-EAR STEREO HEADSET</t>
  </si>
  <si>
    <t>JOY IN-EAR STEREO HEADSET WHITE</t>
  </si>
  <si>
    <t>STEREO EARPHONE ADV,W.M.BK</t>
  </si>
  <si>
    <t>STEREO EARPHONE ADV ,W.M WHT</t>
  </si>
  <si>
    <t>STEREO EARPHONE ADV,W.M BL</t>
  </si>
  <si>
    <t>STEREO EARPHONE ADV,W.M RED</t>
  </si>
  <si>
    <t>HAMA 30725 Loudspeaker Cable 2 x 1.5 mm², 10 m</t>
  </si>
  <si>
    <t>HAMA 80854 ALULINE COILED CORD  3.5 JK PLG 1M</t>
  </si>
  <si>
    <t>HAMA 80868 ALULINE"CONNECT CABLE,3.5 MM JACK,PLUG-PLUG,0.5 M</t>
  </si>
  <si>
    <t>HAMA 80869 "AluLine" Connecting Cable, 3.5 mmjack, plug - plug, stereo, 2 m</t>
  </si>
  <si>
    <t>HAMA 122257 AUD OPTFIBRE CABLE,ODT PLUGTOSLINK,G-P,3.0M</t>
  </si>
  <si>
    <t>HAMA 122296 Audio Cable, 3.5 mm jack plug - 2 RCA plugs, stereo, 3.0 m</t>
  </si>
  <si>
    <t>HAMA 122299 AUD CABLE,3.5MM JK PLUG-2 RCA PG,STEREO,G-P,3.0M</t>
  </si>
  <si>
    <t>HAMA 122326 SLIM CORD,3.5MM JK PLG 90°-PLG,STEREO,1.5m</t>
  </si>
  <si>
    <t>HAMA 122330 JACK CONNECTION KIT,2.5M</t>
  </si>
  <si>
    <t>Hama 39665 Hspd Hdmi Cbl Enet Gp 2Shield 1.80M</t>
  </si>
  <si>
    <t>HAMA 39666 HIGHSPEED HDMI™ CABLE, G-P, 2 SHIELDED,3.00M</t>
  </si>
  <si>
    <t>HAMA 39667 HIGHSPEED HDMI™ CABLE, G-P, 2 SHIELDED,5.00M</t>
  </si>
  <si>
    <t>HAMA 39668 HDMI CABLE E.NET GP DS 10M</t>
  </si>
  <si>
    <t>Hama 12307 Universal 8in1 Remote Control</t>
  </si>
  <si>
    <t>HAMA 122176 ULTRA HIGH SPEED HDMI™ CABLE, PLUG - PLUG, 8K,GOLD-PLATED, 2.0M</t>
  </si>
  <si>
    <t>HAMA 122177-UH HDMI Cable,Plug Gold Plated 3.0m</t>
  </si>
  <si>
    <t>HAMA 135663 “Blink’n Kids” kid’s headphones, over-ear, sound limiting technology, flashing effect-Blu</t>
  </si>
  <si>
    <t>HAMA 135664 “Blink’n Kids” kid’s headphones, over-ear, sound limiting technology, flashing effect-Pnk</t>
  </si>
  <si>
    <t>HAMA 177052 “Kids” children's headphones, on-ear, sound limiting technology, black/green</t>
  </si>
  <si>
    <t>Hama 177066 Libero Buds Bluetooth Headphones</t>
  </si>
  <si>
    <t>HAMA 182083 Audio Cable Adapter, 3.5 mm Jack Plug, Ster. - 2 x 3.5 mm jack socket,ster.</t>
  </si>
  <si>
    <t>Hama 184016 Fun4Phone headphones on-ear cable guide one side black</t>
  </si>
  <si>
    <t>Hama 184054 Voice headphones on-ear microphone voice control</t>
  </si>
  <si>
    <t>Hama 184060 Calypso Bt® headphones,overear, mic,bass boost,red</t>
  </si>
  <si>
    <t>Hama 184061 Calypso Bt® headphones,overear, mic,bass boost,blue</t>
  </si>
  <si>
    <t>Hama 184023 Calypso Bt® headphones,overear, mic,bass boost,black</t>
  </si>
  <si>
    <t>Hama 184062 Calypso Bt® headphones,overear, mic,bass boost,white</t>
  </si>
  <si>
    <t>HAMA 205191 Audio Adapter, 3.5 mm Jack Plug - 2 x 3.5 mm Jack Socket, Stereo</t>
  </si>
  <si>
    <t>HAMA 205192 Audio Adapter, 2 x 3.5 mm Jack Plug Mono - 3.5 mm Jack Socket Stereo</t>
  </si>
  <si>
    <t>Hama 176967 TH-10 Thermometer W/Mould Alarm White</t>
  </si>
  <si>
    <t>Hama "Insomnia Coal" Overhead Headset + POWER PACK, 5000 mAH BUNDLE PACK</t>
  </si>
  <si>
    <t>HAMA Spirit Chop Bluetooth® Headphones, True Wireless, In-Ear, Black</t>
  </si>
  <si>
    <t>HAMA Spirit Chop Bluetooth® Headphones, True Wireless, In-Ear, White</t>
  </si>
  <si>
    <t>Hama Freedom Light Bluetooth Headphones True Wireless Earbuds - Black</t>
  </si>
  <si>
    <t>Hama Freedom Light Bluetooth Headphones True Wireless Earbuds - White</t>
  </si>
  <si>
    <t>Hama 184084 Freedom Lit On Ear Wireless Headset Black</t>
  </si>
  <si>
    <t>Hama 184086 Freedom Lit On Ear Wireless Headset Blue</t>
  </si>
  <si>
    <t>Hama Spirit Calypso" Bluetooth® Headphones, Over-Ear, Bass Boost, Foldable, blk</t>
  </si>
  <si>
    <t>hama Spirit Calypso" Bluetooth® Headphones, Over-Ear, Bass Boost, Foldable, white</t>
  </si>
  <si>
    <t>Hama 184156 Glow Headphones, Earbuds, Microphone, Lightning, White</t>
  </si>
  <si>
    <t>Hama 184157 Glow Headphones, Earbuds, Microphone, Lightning, Black</t>
  </si>
  <si>
    <t>Hama 184106 "Kids Guard" Children's Headphones, On-Ear, Vol Limiter, Flexible, Blue</t>
  </si>
  <si>
    <t>Hama 184107 "Kids Guard" Children's Headphones, On-Ear, Vol Limiter, Flexible, Green</t>
  </si>
  <si>
    <t>Hama 184111 "Teens Guard" Bluetooth Children's Headphones, On-Ear, Vol Limiter, Blue</t>
  </si>
  <si>
    <t>Hama 184112 "Teens Guard" Bluetooth Children's Headphones, On-Ear, Vol Limiter, Green</t>
  </si>
  <si>
    <t>Hama 40987 Twin Audio Transmitter,for 2 pairs headphones</t>
  </si>
  <si>
    <t>hama 137473 Bluetooth® Audio Transmitter/Receiver, 2in1 Adapter, black</t>
  </si>
  <si>
    <t>Hama 200352 Audio Adapter, 4-pin 3.5 mm Jack - 2 x 3-pin 3.5 mm Jack Headset</t>
  </si>
  <si>
    <t>Hama LITMUVE Freedom Lit BT HEADSET +A-PLUS WIRELESS PORTABLE SPEAKER</t>
  </si>
  <si>
    <t>Hama 184135 Intense Headphones, In-Ear, Microphone black</t>
  </si>
  <si>
    <t>Hama 184136 Intense Headphones, In-Ear, Microphone, Flat Ribbon Cable, white</t>
  </si>
  <si>
    <t>Hama 184167 "Spirit Unchained" ENC True Wireless Earbuds, Black</t>
  </si>
  <si>
    <t>Hama 184168 "Spirit Unchained" ENC True Wireless Earbuds, Red</t>
  </si>
  <si>
    <t>Hama 184169 "Spirit Unchained" ENC True Wireless Earbuds, Blue</t>
  </si>
  <si>
    <t>Hama D3223852 POWER STRIP-UK Plug, 4-WAY ,2X USB-A 12W , 3M,WHITE</t>
  </si>
  <si>
    <t>Hama D3223854 POWER STRIP-UK Plug, 4-WAY ,2X USB-A 12W,3M,BLACK</t>
  </si>
  <si>
    <t>Hama D3223853 POWER STRIP-UK Plug, 4-WAY ,2X USB-A 12W , 1.5M,BLACK</t>
  </si>
  <si>
    <t>Hama D3223851 POWER STRIP-UK Plug, 4-WAY ,2X USB-A 12W , 1.5M,WHITE</t>
  </si>
  <si>
    <t>Fun Headphones, On-Ear, Microphone, Cable Guide on One Side, black</t>
  </si>
  <si>
    <t>Passion Clear II TWS In-Ear, ANC Bluetooth Headphones - White</t>
  </si>
  <si>
    <t>Passion Clear II TWS In-Ear, ANC Bluetooth Headphones - Black</t>
  </si>
  <si>
    <t>Bluetooth Inflight Wireless Audio Transmitter Adapter, White</t>
  </si>
  <si>
    <t>Egg Timer, stainless steel</t>
  </si>
  <si>
    <t>Mechanical Kitchen Timer</t>
  </si>
  <si>
    <t>TIMER COUNTDOWN BLACK</t>
  </si>
  <si>
    <t>"Kolibri" Bathroom Scales</t>
  </si>
  <si>
    <t>Dena Bathroom Scales</t>
  </si>
  <si>
    <t>"Jewel" Digital Fine Scales</t>
  </si>
  <si>
    <t>"Stella" Kitchen Scales</t>
  </si>
  <si>
    <t>"Christine" Bathroom Scales</t>
  </si>
  <si>
    <t>"Milla" Kitchen Scales</t>
  </si>
  <si>
    <t>Digital Roasting Thermometer with Timer, Radio Sensor, 2 Probes</t>
  </si>
  <si>
    <t>Stacking Kit for Washing Machines / Dryers, Integrated Laundry Maiden</t>
  </si>
  <si>
    <t>Intermediate Frame for Washing machine/Dryer</t>
  </si>
  <si>
    <t>Refrigerator/Freezer Thermometer, digital</t>
  </si>
  <si>
    <t>Fleece Filter for Cooker Hoods, 2 pcs./set</t>
  </si>
  <si>
    <t>Vibration damper</t>
  </si>
  <si>
    <t>Special Glass Scraper for Glass Ceramic Cooking Surfaces</t>
  </si>
  <si>
    <t>Drying Balls, 2 pcs</t>
  </si>
  <si>
    <t>Digital Multi-Thermometer</t>
  </si>
  <si>
    <t>Mechanical Meat and Oven Thermometer</t>
  </si>
  <si>
    <t>"Donatore" Coffee Capsule Stand for Nespresso, 36 capsules</t>
  </si>
  <si>
    <t>"Rondello" Coffee Capsule Stand for Dolce Gusto, 32 capsules</t>
  </si>
  <si>
    <t>Textile Protector for Linen and Soleplate</t>
  </si>
  <si>
    <t>"Torre" Coffee Capsule Stand for Nespresso, 40 capsules</t>
  </si>
  <si>
    <t>ELEC.MILK FROTHER:1/BOX</t>
  </si>
  <si>
    <t>Stainless Steel Container for 1 kg of Coffee Beans</t>
  </si>
  <si>
    <t>Milk Jug, stainless steel</t>
  </si>
  <si>
    <t>"Colonna" Coffee Capsule Stand for Dolce Gusto, 24 capsules</t>
  </si>
  <si>
    <t>"Doppio" Coffee Capsule Stand for Tassimo, 26 capsules</t>
  </si>
  <si>
    <t>"Edelcopter" Milk Frother</t>
  </si>
  <si>
    <t>"Pilastro" Coffee Capsule Stand for Dolce Gusto, 16 Capsules</t>
  </si>
  <si>
    <t>Stainless Steel Container for 500 g of Coffee Beans</t>
  </si>
  <si>
    <t>Tea / Coffee Maker, 0.6 Litre</t>
  </si>
  <si>
    <t>"Office" Insulated Mug, 270 ml, grey</t>
  </si>
  <si>
    <t>"Office" Insulated Mug, 270 ml, black</t>
  </si>
  <si>
    <t>Stainless Steel Tin for 1 kg of Coffee Beans, with Scoop</t>
  </si>
  <si>
    <t>"Countdown" Kitchen Timer, digital, white</t>
  </si>
  <si>
    <t>Digital Refrigerator/Freezer Thermometer</t>
  </si>
  <si>
    <t>Anti-Slip Mat for Washing Machines</t>
  </si>
  <si>
    <t>Microfibre Cloths, 30 x 30 cm, blue/green/yellow/red</t>
  </si>
  <si>
    <t>Microwave Box Set, 3 Part, red</t>
  </si>
  <si>
    <t>Microwavable plate set, 2-piece</t>
  </si>
  <si>
    <t>Microwaveable container with 2 food compartments, 1.3 l, red</t>
  </si>
  <si>
    <t>Salad Spinner</t>
  </si>
  <si>
    <t>Food Storage Box Set, 18 Pcs., red</t>
  </si>
  <si>
    <t>Silicon Baking Mat, Square, 40 x 30 cm, red-brown</t>
  </si>
  <si>
    <t>Dough Scraper Kit, Small, 24 Pcs in Display</t>
  </si>
  <si>
    <t>Silicone Kitchen Strainer, foldable, petrol</t>
  </si>
  <si>
    <t>Ice Cube Container Set with Lid and Stainless Steel Tongs</t>
  </si>
  <si>
    <t>Microwave Omelette Maker, PP, 0.75 l</t>
  </si>
  <si>
    <t>Toaster Bag, Reusable, 17.5 x 16 cm</t>
  </si>
  <si>
    <t>"Frog" Silicone Oven Glove</t>
  </si>
  <si>
    <t>Cocktail Shaker, made of glass, 400 ml</t>
  </si>
  <si>
    <t>Glass Scraper for Glass Ceramic Hob</t>
  </si>
  <si>
    <t>"High Speed" Ironing Board Cover, universal</t>
  </si>
  <si>
    <t>"Durafresh®” Refrigerator Filter</t>
  </si>
  <si>
    <t>"Philina" Kitchen Scales, bamboo</t>
  </si>
  <si>
    <t>CLEANER 500ML</t>
  </si>
  <si>
    <t>MICROWAVE CLEANER 500ML</t>
  </si>
  <si>
    <t>XAVAX 2-PHASE PRO TABS FOR
DISHWASHERS,160 TAB</t>
  </si>
  <si>
    <t>"Touch" Kitchen Timer, Digital, silver/black</t>
  </si>
  <si>
    <t>Silicone Iron Rest, blue</t>
  </si>
  <si>
    <t>"2in1" Cutlery Basket for Dishwasher</t>
  </si>
  <si>
    <t>Transport Rollers for Washing Machine, Tumble Dryer and Refrigerator, Adjustable</t>
  </si>
  <si>
    <t>Base Organiser for Battery-powered Vacuum Cleaners, 29.5 x 22 x 128 cm, si</t>
  </si>
  <si>
    <t>Digital Meat Thermometer with Timer, cable sensor</t>
  </si>
  <si>
    <t>Induction Hob Adapter Plate, 23.5 cm</t>
  </si>
  <si>
    <t>Extractor flat / activated charcoal filter, set of 2</t>
  </si>
  <si>
    <t>Oven protective film, reusable, Teflon® non-stick layer, 35 x 43 cm</t>
  </si>
  <si>
    <t xml:space="preserve">Hama Aluminium Laptop Cooler, Tilting, Quiet, 2 Fans, up to 40 cm (15.6"), blk </t>
  </si>
  <si>
    <t xml:space="preserve">HamaBlack Metal Laptop Cooler, Tilting, Quiet, 2 Fans, 40 cm (15.6"), blk </t>
  </si>
  <si>
    <t>Hama 201719 "PD 20" QC 3.0 Power Pack, 20000 mAh, Anthracite</t>
  </si>
  <si>
    <t>Hama D3173051Wireless Keyboard and Mouse Set- WKM-100,black, English/Arabic Layout</t>
  </si>
  <si>
    <t>Hama 222078 Casual Laptop Bag, from 34 to 36 cm (13.3 - 14.1), Blue</t>
  </si>
  <si>
    <t>Hama 227050 Extreme Protect Laptop Bag, Shockproof, 34 - 36 cm (13.3" -14.1"), black</t>
  </si>
  <si>
    <t>HAMA 201710 PERFORMANCE 20 POWER PACK, 20000 MAH, 1X USB-C, 2X USB-A, ANTHRACITE</t>
  </si>
  <si>
    <t>HAMA 201632 CAR QUICK CHARGER, 2X USB-C PD/QC 45W - BLACK</t>
  </si>
  <si>
    <t>HAMA 201721 USB-C TO USB-C CHARGING CABLE 240W USB 3.2 5GBIT/S 1.5 M - WHITE</t>
  </si>
  <si>
    <t>HAMA 201728 FABRIC CHARGING CABLE, USB-C - USB-C, 1 M, NYLON, BEIGE</t>
  </si>
  <si>
    <t>HAMA 201547 FABRIC CHARGING CABLE, USB-C - USB-C, 1.5 M, NYLON, BLACK</t>
  </si>
  <si>
    <t>HAMA 201740 FABRIC CHARGING CABLE, USB-C - USB-C, 100 W, 1.5 M, NYLON, BLACK</t>
  </si>
  <si>
    <t>HAMA 201749 FABRIC CHARGING CABLE, USB-C - USB-C, 100 W, 3 M, NYLON, BLACK</t>
  </si>
  <si>
    <t>HAMA 201662 PD10-HD QC 3.0 POWER PACK,10000 MAH, ANTHRACITE</t>
  </si>
  <si>
    <t>HAMA 201702 USB-C TO USB-C CHARGING CABLE 240W USB 3.2 5GBIT/S 1.5 M - BLACK</t>
  </si>
  <si>
    <t>NEW CREATION GIVEN</t>
  </si>
  <si>
    <t> 100000328043</t>
  </si>
  <si>
    <t> 100000330449</t>
  </si>
  <si>
    <t> 100000328044</t>
  </si>
  <si>
    <t> 100000328042</t>
  </si>
  <si>
    <t>AVINITY</t>
  </si>
  <si>
    <t>HAMA</t>
  </si>
  <si>
    <t>URAGE</t>
  </si>
  <si>
    <t>XAVAX</t>
  </si>
  <si>
    <t>VIDEO ACCESSORIES</t>
  </si>
  <si>
    <t>MOBILE ACCESSORIES</t>
  </si>
  <si>
    <t xml:space="preserve">IT-BUNDLE </t>
  </si>
  <si>
    <t>IT ACCESSORIES</t>
  </si>
  <si>
    <t>GAMING</t>
  </si>
  <si>
    <t>AUDIO ACCESSORIES</t>
  </si>
  <si>
    <t>APPLIANCE ACC</t>
  </si>
  <si>
    <t>118104+1095190001+78302</t>
  </si>
  <si>
    <t>118107+56595</t>
  </si>
  <si>
    <t>D3122105</t>
  </si>
  <si>
    <t>D3122251</t>
  </si>
  <si>
    <t>188307+188307</t>
  </si>
  <si>
    <t>187291BUNDLE</t>
  </si>
  <si>
    <t>C2L20WSK10</t>
  </si>
  <si>
    <t>C2C20WSK10</t>
  </si>
  <si>
    <t>134960+CBH37</t>
  </si>
  <si>
    <t>PCACC-005 BAG BUNDLE GREY</t>
  </si>
  <si>
    <t>D3182664</t>
  </si>
  <si>
    <t>D3134958</t>
  </si>
  <si>
    <t>D3182676</t>
  </si>
  <si>
    <t>D3045040</t>
  </si>
  <si>
    <t>101825B4AM</t>
  </si>
  <si>
    <t>101867B4AM</t>
  </si>
  <si>
    <t>185622B4AM</t>
  </si>
  <si>
    <t>101908MW3</t>
  </si>
  <si>
    <t>D3045052</t>
  </si>
  <si>
    <t>D3045053</t>
  </si>
  <si>
    <t>D3045054</t>
  </si>
  <si>
    <t>D3053752</t>
  </si>
  <si>
    <t>D3053754</t>
  </si>
  <si>
    <t>D3045021</t>
  </si>
  <si>
    <t>D3045022</t>
  </si>
  <si>
    <t>D3182677</t>
  </si>
  <si>
    <t>101909MW3</t>
  </si>
  <si>
    <t>216529BUNDLE</t>
  </si>
  <si>
    <t>D3182685</t>
  </si>
  <si>
    <t>D3173056</t>
  </si>
  <si>
    <t>D3173065</t>
  </si>
  <si>
    <t>D3173066</t>
  </si>
  <si>
    <t>D3173069</t>
  </si>
  <si>
    <t>PCACC3+B4M</t>
  </si>
  <si>
    <t>U8186040</t>
  </si>
  <si>
    <t>186007+186018+D3186011</t>
  </si>
  <si>
    <t>D3186014</t>
  </si>
  <si>
    <t>D3186011</t>
  </si>
  <si>
    <t>D3186040</t>
  </si>
  <si>
    <t>INSOMNIA+5K</t>
  </si>
  <si>
    <t>LITMUVE</t>
  </si>
  <si>
    <t>D3223852</t>
  </si>
  <si>
    <t>D3223854</t>
  </si>
  <si>
    <t>D3223853</t>
  </si>
  <si>
    <t>D3223851</t>
  </si>
  <si>
    <t>X95321</t>
  </si>
  <si>
    <t>X110200</t>
  </si>
  <si>
    <t>X110201</t>
  </si>
  <si>
    <t>X110233</t>
  </si>
  <si>
    <t>X110235</t>
  </si>
  <si>
    <t>X111381</t>
  </si>
  <si>
    <t>X111396</t>
  </si>
  <si>
    <t>D3173051</t>
  </si>
  <si>
    <t>EAN</t>
  </si>
  <si>
    <t>Cost</t>
  </si>
  <si>
    <t>RSP</t>
  </si>
  <si>
    <t>RSP+Vat</t>
  </si>
  <si>
    <t>Status</t>
  </si>
  <si>
    <t>Active</t>
  </si>
  <si>
    <t>New</t>
  </si>
  <si>
    <t>New Creation</t>
  </si>
  <si>
    <t xml:space="preserve">Hard Case Backpack- 25L, black </t>
  </si>
  <si>
    <t>LBK-004-BLK</t>
  </si>
  <si>
    <t>RISE</t>
  </si>
  <si>
    <t>HAMA185815 Key Finder, Item Finder for Apple "Find My" App, Bluetooth, white</t>
  </si>
  <si>
    <t>HAMA 201576 Flexible Charging Cable, USB-C - USB-C, 1.5 m, Silicone, black</t>
  </si>
  <si>
    <t>HAMA 201605 USB Adapter Cable, OTG, USB-C Plug - USB-A Socket, 15 cm, black</t>
  </si>
  <si>
    <t>HAMA 201722 2-in-1 Charging Cable, USB-C - USB-C or Lightning, MFI, 1.5 m, white</t>
  </si>
  <si>
    <t>HAMA 201723 Audio Adapter, USB-C - 3.5 mm Jack, USB-C PD incl. Charging Function</t>
  </si>
  <si>
    <t>HAMA 201726 Fabric Charging Cable, USB-C - USB-C, 1 m, Nylon, green</t>
  </si>
  <si>
    <t>HAMA 201727 Fabric Charging Cable, USB-C - USB-C, 1 m, Nylon, orange</t>
  </si>
  <si>
    <t>HAMA 201747 Power Pack PD 10, 10000mAh, bk</t>
  </si>
  <si>
    <t>HAMA 201748 Power Pack "PD 20", 20000mAh, bk</t>
  </si>
  <si>
    <t>HAMA 221750 "Season II" Headphones, Earbuds, Microphone, Cable Kink Protection, USB-C, black</t>
  </si>
  <si>
    <t>HAMA 221751 Season II Headphones, Earbuds, Microphone, Cable Kink Protection, USB-C, white</t>
  </si>
  <si>
    <t>HAMA 125120 Headrest Holder for Tablets from 7 - 14.6", 360° Swivel</t>
  </si>
  <si>
    <t>HAMA 200311 USB OTG Adapter, USB-C Plug - USB Socket, USB 3.2 Gen 1, 5 Gbit/s</t>
  </si>
  <si>
    <t>HAMA 201502 "Compact" Car Mobile Phone Holder with Suction Cup, 360-degree Rotation, Universal</t>
  </si>
  <si>
    <t>HAMA 201591 CHARGING CABLE, USB-C - USB-C, 1.5 M, BLACK</t>
  </si>
  <si>
    <t>HAMA 201638 Car Quick Charger, USB-C, Power Delivery (PD) / Qualcomm®, 25 W, black</t>
  </si>
  <si>
    <t>HAMA 201711 Performance 24 Power Pack, 24000 mAh, 3 Outputs: USB-C, 2x USB-A, anthr.</t>
  </si>
  <si>
    <t>HAMA 201716 Colour 20 Power Pack, 20000 mAh, 2 Outputs: USB-C, USB-A, green</t>
  </si>
  <si>
    <t>HAMA 201718 PD 10 Power Pack, 10000 mAh, 3 Outputs: 2x USB-C, 1x USB-A, anthracite</t>
  </si>
  <si>
    <t>HAMA 73210290 Mini Charger UK,25W,PD/QC ,White</t>
  </si>
  <si>
    <t>HAMA 73210295 Mini Charger UK,35W,2x USB-C,White</t>
  </si>
  <si>
    <t>HAMA 173072 CM-100 USB Mouse, Optical, 3 Buttons, W/O Click Noise, Cable, black</t>
  </si>
  <si>
    <t>HAMA 173073 WM-100 Wireless Mouse, Cordless, Optical, 3 Buttons, W/O Click Noise, blk</t>
  </si>
  <si>
    <t>HAMA 173075 WM-200 Wireless Mouse, Cordless, Optical, 4 Buttons, W/O Click Noise, blk</t>
  </si>
  <si>
    <t>HAMA 173076 WM-150 Mini Wireless Mouse, Optical, 3 Buttons, W/O Click Noise, black</t>
  </si>
  <si>
    <t>HAMA 173077 WM-400 Wireless Mouse, Ergon., Optical, 6 Buttons, W/O Click Noise, blk</t>
  </si>
  <si>
    <t>HAMA 173078 WM-400 Wireless Mouse, Ergon., Optical, 6 Buttons, W/O Click Sound, white</t>
  </si>
  <si>
    <t>HAMA 173079 WM-450 Multi-Device Mouse, Wireless, Radio/Bluetooth®, 7 Buttons, black</t>
  </si>
  <si>
    <t>HAMA 173081 WM-500 Wireless Mouse, Ergonom., 6 Buttons, W/O Click Noise, Battery, blk</t>
  </si>
  <si>
    <t>HAMA 173082 WM-500 Wireless Mouse, Ergonom., 6 Buttons, W/O Click Noise, Battery, wh</t>
  </si>
  <si>
    <t>HAMA 173088 EWM-500R Ergonomic Vertical Mouse, Radio, Optical, 7 Buttons, black</t>
  </si>
  <si>
    <t>HAMA 173097 WM-900 Multi-Device Mouse, Ergonom., Radio/Bluetooth®, Battery, RGB, blk</t>
  </si>
  <si>
    <t>HAMA 200117 USB-C HUB, MULTIPORT, 5 PORTS, 3 X USB-A, USB-C, HDMI</t>
  </si>
  <si>
    <t>HAMA 200141 USB HUB, 4 PORTS, USB 3.2 GEN 1, 5 GBIT/S, ULTRA-SLIM, INCL. USB-C ADAPTER</t>
  </si>
  <si>
    <t>HAMA 200325 Network Adapter, USB Plug - LAN/Ethernet Socket, Gigabit Ethernet</t>
  </si>
  <si>
    <t>HAMA 200628 USB Extension Cable, USB 3.0, 5 Gbit/s, 1.50 m</t>
  </si>
  <si>
    <t>HAMA 217115 Florence Laptop Bag, up to 36 cm (14.1"), black/grey</t>
  </si>
  <si>
    <t>HAMA 217115 Extreme Protect Laptop Sleeve, 34 - 36 cm (13.3"- 14.1"), black</t>
  </si>
  <si>
    <t>HAMA 200929 DisplayPort Cable, DP 1.2, 1.50 m</t>
  </si>
  <si>
    <t>HAMA 173021 MW-300 V2 Optical 3-Button Wireless Mouse, USB Receiver, blue</t>
  </si>
  <si>
    <t>HAMA 173027 MW-400 V2 Optical 6-Button Wireless Mouse, Ergonomic, USB Rec., Denim</t>
  </si>
  <si>
    <t>HAMA 173028 MW-400 V2 Optical 6-Button Wireless Mouse, Ergonomic, USB Rec., Sienna</t>
  </si>
  <si>
    <t xml:space="preserve">HAMA 173034 MW-500 Recharge Optical 6-Button Mouse, Ergonomic, Polar Blue </t>
  </si>
  <si>
    <t>HAMA 222033 Jersey Laptop Sleeve, from 34 - 36 cm (13.3- 14.1), sand</t>
  </si>
  <si>
    <t>HAMA 222035 Jersey Laptop Sleeve, from 34 - 36 cm (13.3- 14.1), Burgundy</t>
  </si>
  <si>
    <t>HAMA 222045 Premium Lightweight Laptop Backpack, up to 41 cm (16.2), dark blue</t>
  </si>
  <si>
    <t>HAMA 222050 Ultra Lightweight Laptop Bag, 34 - 36 cm (13.3- 14.1), black</t>
  </si>
  <si>
    <t>HAMA 222056 Ultra Lightweight Laptop Backpack, up to 41 cm (16.2), black</t>
  </si>
  <si>
    <t>HAMA 227053 Genua Laptop Bag, up to 40 cm (15.6"), grey</t>
  </si>
  <si>
    <t xml:space="preserve">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</si>
</sst>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1" xfId="1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/>
    <xf numFmtId="0" fontId="4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0" borderId="1" xfId="2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.hama.com/00139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0A71-3AD5-470D-81DA-8EF407BE99EC}">
  <sheetPr>
    <tabColor rgb="FFFF0000"/>
  </sheetPr>
  <dimension ref="B1:L494"/>
  <sheetViews>
    <sheetView topLeftCell="B1" zoomScale="80" zoomScaleNormal="80" workbookViewId="0">
      <selection activeCell="D1" sqref="D1"/>
    </sheetView>
  </sheetViews>
  <sheetFormatPr defaultRowHeight="14.5" x14ac:dyDescent="0.35"/>
  <cols>
    <col min="1" max="1" width="3.36328125" customWidth="1"/>
    <col min="2" max="2" width="9" style="1" customWidth="1"/>
    <col min="3" max="3" width="17.6328125" style="1" customWidth="1"/>
    <col min="4" max="4" width="13.08984375" style="1" customWidth="1"/>
    <col min="5" max="5" width="16.453125" style="17" bestFit="1" customWidth="1"/>
    <col min="6" max="6" width="20.453125" style="1" bestFit="1" customWidth="1"/>
    <col min="7" max="7" width="12.90625" style="1" bestFit="1" customWidth="1"/>
    <col min="8" max="8" width="93.7265625" bestFit="1" customWidth="1"/>
    <col min="9" max="10" width="9.90625" customWidth="1"/>
    <col min="11" max="11" width="9.6328125" customWidth="1"/>
    <col min="12" max="12" width="10.453125" customWidth="1"/>
  </cols>
  <sheetData>
    <row r="1" spans="2:12" s="14" customFormat="1" ht="28" x14ac:dyDescent="0.35">
      <c r="B1" s="8" t="s">
        <v>0</v>
      </c>
      <c r="C1" s="8" t="s">
        <v>1</v>
      </c>
      <c r="D1" s="8" t="s">
        <v>692</v>
      </c>
      <c r="E1" s="15" t="s">
        <v>632</v>
      </c>
      <c r="F1" s="8" t="s">
        <v>3</v>
      </c>
      <c r="G1" s="8" t="s">
        <v>636</v>
      </c>
      <c r="H1" s="9" t="s">
        <v>2</v>
      </c>
      <c r="I1" s="10" t="s">
        <v>633</v>
      </c>
      <c r="J1" s="10" t="s">
        <v>634</v>
      </c>
      <c r="K1" s="10" t="s">
        <v>635</v>
      </c>
      <c r="L1" s="10" t="s">
        <v>4</v>
      </c>
    </row>
    <row r="2" spans="2:12" x14ac:dyDescent="0.35">
      <c r="B2" s="2" t="s">
        <v>569</v>
      </c>
      <c r="C2" s="3">
        <v>100000326624</v>
      </c>
      <c r="D2" s="4">
        <v>118099</v>
      </c>
      <c r="E2" s="16">
        <v>4047443422736</v>
      </c>
      <c r="F2" s="2" t="s">
        <v>572</v>
      </c>
      <c r="G2" s="2" t="s">
        <v>637</v>
      </c>
      <c r="H2" s="6" t="s">
        <v>27</v>
      </c>
      <c r="I2" s="12">
        <f t="shared" ref="I2:I42" si="0">0.4*J2</f>
        <v>190.0952380952381</v>
      </c>
      <c r="J2" s="13">
        <f>K2/(1+5%)</f>
        <v>475.23809523809524</v>
      </c>
      <c r="K2" s="7">
        <v>499</v>
      </c>
      <c r="L2" s="11">
        <f t="shared" ref="L2:L42" si="1">(J2-I2)/J2</f>
        <v>0.6</v>
      </c>
    </row>
    <row r="3" spans="2:12" x14ac:dyDescent="0.35">
      <c r="B3" s="2" t="s">
        <v>569</v>
      </c>
      <c r="C3" s="3">
        <v>100000324450</v>
      </c>
      <c r="D3" s="4">
        <v>118103</v>
      </c>
      <c r="E3" s="16">
        <v>4047443308153</v>
      </c>
      <c r="F3" s="2" t="s">
        <v>572</v>
      </c>
      <c r="G3" s="2" t="s">
        <v>637</v>
      </c>
      <c r="H3" s="6" t="s">
        <v>28</v>
      </c>
      <c r="I3" s="12">
        <f t="shared" si="0"/>
        <v>56.761904761904759</v>
      </c>
      <c r="J3" s="13">
        <f t="shared" ref="J3:J66" si="2">K3/(1+5%)</f>
        <v>141.9047619047619</v>
      </c>
      <c r="K3" s="7">
        <v>149</v>
      </c>
      <c r="L3" s="11">
        <f t="shared" si="1"/>
        <v>0.6</v>
      </c>
    </row>
    <row r="4" spans="2:12" x14ac:dyDescent="0.35">
      <c r="B4" s="2" t="s">
        <v>569</v>
      </c>
      <c r="C4" s="3">
        <v>100000324442</v>
      </c>
      <c r="D4" s="4">
        <v>118104</v>
      </c>
      <c r="E4" s="16">
        <v>4047443308436</v>
      </c>
      <c r="F4" s="2" t="s">
        <v>572</v>
      </c>
      <c r="G4" s="2" t="s">
        <v>637</v>
      </c>
      <c r="H4" s="6" t="s">
        <v>29</v>
      </c>
      <c r="I4" s="12">
        <f t="shared" si="0"/>
        <v>18.666666666666668</v>
      </c>
      <c r="J4" s="13">
        <f t="shared" si="2"/>
        <v>46.666666666666664</v>
      </c>
      <c r="K4" s="7">
        <v>49</v>
      </c>
      <c r="L4" s="11">
        <f t="shared" si="1"/>
        <v>0.6</v>
      </c>
    </row>
    <row r="5" spans="2:12" x14ac:dyDescent="0.35">
      <c r="B5" s="2" t="s">
        <v>569</v>
      </c>
      <c r="C5" s="3">
        <v>100000324448</v>
      </c>
      <c r="D5" s="4">
        <v>118125</v>
      </c>
      <c r="E5" s="16">
        <v>4047443378941</v>
      </c>
      <c r="F5" s="2" t="s">
        <v>572</v>
      </c>
      <c r="G5" s="2" t="s">
        <v>637</v>
      </c>
      <c r="H5" s="6" t="s">
        <v>30</v>
      </c>
      <c r="I5" s="12">
        <f t="shared" si="0"/>
        <v>94.857142857142861</v>
      </c>
      <c r="J5" s="13">
        <f t="shared" si="2"/>
        <v>237.14285714285714</v>
      </c>
      <c r="K5" s="7">
        <v>249</v>
      </c>
      <c r="L5" s="11">
        <f t="shared" si="1"/>
        <v>0.6</v>
      </c>
    </row>
    <row r="6" spans="2:12" x14ac:dyDescent="0.35">
      <c r="B6" s="2" t="s">
        <v>569</v>
      </c>
      <c r="C6" s="3">
        <v>100000324449</v>
      </c>
      <c r="D6" s="4">
        <v>118126</v>
      </c>
      <c r="E6" s="16">
        <v>4047443378484</v>
      </c>
      <c r="F6" s="2" t="s">
        <v>572</v>
      </c>
      <c r="G6" s="2" t="s">
        <v>637</v>
      </c>
      <c r="H6" s="6" t="s">
        <v>31</v>
      </c>
      <c r="I6" s="12">
        <f t="shared" si="0"/>
        <v>113.90476190476191</v>
      </c>
      <c r="J6" s="13">
        <f t="shared" si="2"/>
        <v>284.76190476190476</v>
      </c>
      <c r="K6" s="7">
        <v>299</v>
      </c>
      <c r="L6" s="11">
        <f t="shared" si="1"/>
        <v>0.59999999999999987</v>
      </c>
    </row>
    <row r="7" spans="2:12" x14ac:dyDescent="0.35">
      <c r="B7" s="2" t="s">
        <v>569</v>
      </c>
      <c r="C7" s="3">
        <v>100000252698</v>
      </c>
      <c r="D7" s="4">
        <v>56556</v>
      </c>
      <c r="E7" s="16">
        <v>4007249565563</v>
      </c>
      <c r="F7" s="2" t="s">
        <v>572</v>
      </c>
      <c r="G7" s="2" t="s">
        <v>637</v>
      </c>
      <c r="H7" s="6" t="s">
        <v>32</v>
      </c>
      <c r="I7" s="12">
        <f t="shared" si="0"/>
        <v>37.714285714285715</v>
      </c>
      <c r="J7" s="13">
        <f t="shared" si="2"/>
        <v>94.285714285714278</v>
      </c>
      <c r="K7" s="7">
        <v>99</v>
      </c>
      <c r="L7" s="11">
        <f t="shared" si="1"/>
        <v>0.6</v>
      </c>
    </row>
    <row r="8" spans="2:12" x14ac:dyDescent="0.35">
      <c r="B8" s="2" t="s">
        <v>569</v>
      </c>
      <c r="C8" s="3">
        <v>100000326621</v>
      </c>
      <c r="D8" s="4">
        <v>83215</v>
      </c>
      <c r="E8" s="16">
        <v>4007249832153</v>
      </c>
      <c r="F8" s="2" t="s">
        <v>572</v>
      </c>
      <c r="G8" s="2" t="s">
        <v>637</v>
      </c>
      <c r="H8" s="6" t="s">
        <v>33</v>
      </c>
      <c r="I8" s="12">
        <f t="shared" si="0"/>
        <v>49.142857142857139</v>
      </c>
      <c r="J8" s="13">
        <f t="shared" si="2"/>
        <v>122.85714285714285</v>
      </c>
      <c r="K8" s="7">
        <v>129</v>
      </c>
      <c r="L8" s="11">
        <f t="shared" si="1"/>
        <v>0.6</v>
      </c>
    </row>
    <row r="9" spans="2:12" x14ac:dyDescent="0.35">
      <c r="B9" s="2" t="s">
        <v>569</v>
      </c>
      <c r="C9" s="3">
        <v>100000244068</v>
      </c>
      <c r="D9" s="4">
        <v>122100</v>
      </c>
      <c r="E9" s="16">
        <v>4047443190499</v>
      </c>
      <c r="F9" s="2" t="s">
        <v>572</v>
      </c>
      <c r="G9" s="2" t="s">
        <v>637</v>
      </c>
      <c r="H9" s="6" t="s">
        <v>34</v>
      </c>
      <c r="I9" s="12">
        <f t="shared" si="0"/>
        <v>11.047619047619047</v>
      </c>
      <c r="J9" s="13">
        <f t="shared" si="2"/>
        <v>27.619047619047617</v>
      </c>
      <c r="K9" s="7">
        <v>29</v>
      </c>
      <c r="L9" s="11">
        <f t="shared" si="1"/>
        <v>0.6</v>
      </c>
    </row>
    <row r="10" spans="2:12" x14ac:dyDescent="0.35">
      <c r="B10" s="2" t="s">
        <v>569</v>
      </c>
      <c r="C10" s="3">
        <v>100000244069</v>
      </c>
      <c r="D10" s="4">
        <v>122101</v>
      </c>
      <c r="E10" s="16">
        <v>4047443190505</v>
      </c>
      <c r="F10" s="2" t="s">
        <v>572</v>
      </c>
      <c r="G10" s="2" t="s">
        <v>637</v>
      </c>
      <c r="H10" s="6" t="s">
        <v>35</v>
      </c>
      <c r="I10" s="12">
        <f t="shared" si="0"/>
        <v>14.857142857142856</v>
      </c>
      <c r="J10" s="13">
        <f t="shared" si="2"/>
        <v>37.142857142857139</v>
      </c>
      <c r="K10" s="7">
        <v>39</v>
      </c>
      <c r="L10" s="11">
        <f t="shared" si="1"/>
        <v>0.60000000000000009</v>
      </c>
    </row>
    <row r="11" spans="2:12" x14ac:dyDescent="0.35">
      <c r="B11" s="2" t="s">
        <v>569</v>
      </c>
      <c r="C11" s="3">
        <v>100000324422</v>
      </c>
      <c r="D11" s="4">
        <v>122102</v>
      </c>
      <c r="E11" s="16">
        <v>4047443190512</v>
      </c>
      <c r="F11" s="2" t="s">
        <v>572</v>
      </c>
      <c r="G11" s="2" t="s">
        <v>637</v>
      </c>
      <c r="H11" s="6" t="s">
        <v>36</v>
      </c>
      <c r="I11" s="12">
        <f t="shared" si="0"/>
        <v>22.476190476190478</v>
      </c>
      <c r="J11" s="13">
        <f t="shared" si="2"/>
        <v>56.19047619047619</v>
      </c>
      <c r="K11" s="7">
        <v>59</v>
      </c>
      <c r="L11" s="11">
        <f t="shared" si="1"/>
        <v>0.59999999999999987</v>
      </c>
    </row>
    <row r="12" spans="2:12" x14ac:dyDescent="0.35">
      <c r="B12" s="2" t="s">
        <v>569</v>
      </c>
      <c r="C12" s="3">
        <v>100000243649</v>
      </c>
      <c r="D12" s="4">
        <v>122108</v>
      </c>
      <c r="E12" s="16">
        <v>4047443194640</v>
      </c>
      <c r="F12" s="2" t="s">
        <v>572</v>
      </c>
      <c r="G12" s="2" t="s">
        <v>637</v>
      </c>
      <c r="H12" s="6" t="s">
        <v>37</v>
      </c>
      <c r="I12" s="12">
        <f t="shared" si="0"/>
        <v>49.142857142857139</v>
      </c>
      <c r="J12" s="13">
        <f t="shared" si="2"/>
        <v>122.85714285714285</v>
      </c>
      <c r="K12" s="7">
        <v>129</v>
      </c>
      <c r="L12" s="11">
        <f t="shared" si="1"/>
        <v>0.6</v>
      </c>
    </row>
    <row r="13" spans="2:12" x14ac:dyDescent="0.35">
      <c r="B13" s="2" t="s">
        <v>569</v>
      </c>
      <c r="C13" s="3">
        <v>100000324423</v>
      </c>
      <c r="D13" s="4">
        <v>122109</v>
      </c>
      <c r="E13" s="16">
        <v>4047443196491</v>
      </c>
      <c r="F13" s="2" t="s">
        <v>572</v>
      </c>
      <c r="G13" s="2" t="s">
        <v>637</v>
      </c>
      <c r="H13" s="6" t="s">
        <v>38</v>
      </c>
      <c r="I13" s="12">
        <f t="shared" si="0"/>
        <v>94.857142857142861</v>
      </c>
      <c r="J13" s="13">
        <f t="shared" si="2"/>
        <v>237.14285714285714</v>
      </c>
      <c r="K13" s="7">
        <v>249</v>
      </c>
      <c r="L13" s="11">
        <f t="shared" si="1"/>
        <v>0.6</v>
      </c>
    </row>
    <row r="14" spans="2:12" x14ac:dyDescent="0.35">
      <c r="B14" s="2" t="s">
        <v>569</v>
      </c>
      <c r="C14" s="3">
        <v>100000242326</v>
      </c>
      <c r="D14" s="4">
        <v>122110</v>
      </c>
      <c r="E14" s="16">
        <v>4047443190659</v>
      </c>
      <c r="F14" s="2" t="s">
        <v>572</v>
      </c>
      <c r="G14" s="2" t="s">
        <v>637</v>
      </c>
      <c r="H14" s="6" t="s">
        <v>39</v>
      </c>
      <c r="I14" s="12">
        <f t="shared" si="0"/>
        <v>26.285714285714285</v>
      </c>
      <c r="J14" s="13">
        <f t="shared" si="2"/>
        <v>65.714285714285708</v>
      </c>
      <c r="K14" s="7">
        <v>69</v>
      </c>
      <c r="L14" s="11">
        <f t="shared" si="1"/>
        <v>0.6</v>
      </c>
    </row>
    <row r="15" spans="2:12" x14ac:dyDescent="0.35">
      <c r="B15" s="2" t="s">
        <v>569</v>
      </c>
      <c r="C15" s="3">
        <v>100000242327</v>
      </c>
      <c r="D15" s="4">
        <v>122111</v>
      </c>
      <c r="E15" s="16">
        <v>4047443190666</v>
      </c>
      <c r="F15" s="2" t="s">
        <v>572</v>
      </c>
      <c r="G15" s="2" t="s">
        <v>637</v>
      </c>
      <c r="H15" s="6" t="s">
        <v>40</v>
      </c>
      <c r="I15" s="12">
        <f t="shared" si="0"/>
        <v>30.095238095238098</v>
      </c>
      <c r="J15" s="13">
        <f t="shared" si="2"/>
        <v>75.238095238095241</v>
      </c>
      <c r="K15" s="7">
        <v>79</v>
      </c>
      <c r="L15" s="11">
        <f t="shared" si="1"/>
        <v>0.6</v>
      </c>
    </row>
    <row r="16" spans="2:12" x14ac:dyDescent="0.35">
      <c r="B16" s="2" t="s">
        <v>569</v>
      </c>
      <c r="C16" s="3">
        <v>100000241398</v>
      </c>
      <c r="D16" s="4">
        <v>122120</v>
      </c>
      <c r="E16" s="16">
        <v>4047443190741</v>
      </c>
      <c r="F16" s="2" t="s">
        <v>572</v>
      </c>
      <c r="G16" s="2" t="s">
        <v>637</v>
      </c>
      <c r="H16" s="6" t="s">
        <v>41</v>
      </c>
      <c r="I16" s="12">
        <f t="shared" si="0"/>
        <v>37.714285714285715</v>
      </c>
      <c r="J16" s="13">
        <f t="shared" si="2"/>
        <v>94.285714285714278</v>
      </c>
      <c r="K16" s="7">
        <v>99</v>
      </c>
      <c r="L16" s="11">
        <f t="shared" si="1"/>
        <v>0.6</v>
      </c>
    </row>
    <row r="17" spans="2:12" x14ac:dyDescent="0.35">
      <c r="B17" s="2" t="s">
        <v>569</v>
      </c>
      <c r="C17" s="3">
        <v>100000242331</v>
      </c>
      <c r="D17" s="4">
        <v>122121</v>
      </c>
      <c r="E17" s="16">
        <v>4047443190765</v>
      </c>
      <c r="F17" s="2" t="s">
        <v>572</v>
      </c>
      <c r="G17" s="2" t="s">
        <v>637</v>
      </c>
      <c r="H17" s="6" t="s">
        <v>42</v>
      </c>
      <c r="I17" s="12">
        <f t="shared" si="0"/>
        <v>37.714285714285715</v>
      </c>
      <c r="J17" s="13">
        <f t="shared" si="2"/>
        <v>94.285714285714278</v>
      </c>
      <c r="K17" s="7">
        <v>99</v>
      </c>
      <c r="L17" s="11">
        <f t="shared" si="1"/>
        <v>0.6</v>
      </c>
    </row>
    <row r="18" spans="2:12" x14ac:dyDescent="0.35">
      <c r="B18" s="2" t="s">
        <v>569</v>
      </c>
      <c r="C18" s="3">
        <v>100000244478</v>
      </c>
      <c r="D18" s="4">
        <v>122221</v>
      </c>
      <c r="E18" s="16">
        <v>4047443220875</v>
      </c>
      <c r="F18" s="2" t="s">
        <v>572</v>
      </c>
      <c r="G18" s="2" t="s">
        <v>637</v>
      </c>
      <c r="H18" s="6" t="s">
        <v>43</v>
      </c>
      <c r="I18" s="12">
        <f t="shared" si="0"/>
        <v>14.857142857142856</v>
      </c>
      <c r="J18" s="13">
        <f t="shared" si="2"/>
        <v>37.142857142857139</v>
      </c>
      <c r="K18" s="7">
        <v>39</v>
      </c>
      <c r="L18" s="11">
        <f t="shared" si="1"/>
        <v>0.60000000000000009</v>
      </c>
    </row>
    <row r="19" spans="2:12" x14ac:dyDescent="0.35">
      <c r="B19" s="2" t="s">
        <v>569</v>
      </c>
      <c r="C19" s="3">
        <v>100000243650</v>
      </c>
      <c r="D19" s="4">
        <v>122222</v>
      </c>
      <c r="E19" s="16">
        <v>4047443220882</v>
      </c>
      <c r="F19" s="2" t="s">
        <v>572</v>
      </c>
      <c r="G19" s="2" t="s">
        <v>637</v>
      </c>
      <c r="H19" s="6" t="s">
        <v>44</v>
      </c>
      <c r="I19" s="12">
        <f t="shared" si="0"/>
        <v>14.857142857142856</v>
      </c>
      <c r="J19" s="13">
        <f t="shared" si="2"/>
        <v>37.142857142857139</v>
      </c>
      <c r="K19" s="7">
        <v>39</v>
      </c>
      <c r="L19" s="11">
        <f t="shared" si="1"/>
        <v>0.60000000000000009</v>
      </c>
    </row>
    <row r="20" spans="2:12" x14ac:dyDescent="0.35">
      <c r="B20" s="2" t="s">
        <v>569</v>
      </c>
      <c r="C20" s="3">
        <v>100000244479</v>
      </c>
      <c r="D20" s="4">
        <v>122223</v>
      </c>
      <c r="E20" s="16">
        <v>4047443220899</v>
      </c>
      <c r="F20" s="2" t="s">
        <v>572</v>
      </c>
      <c r="G20" s="2" t="s">
        <v>637</v>
      </c>
      <c r="H20" s="6" t="s">
        <v>45</v>
      </c>
      <c r="I20" s="12">
        <f t="shared" si="0"/>
        <v>22.476190476190478</v>
      </c>
      <c r="J20" s="13">
        <f t="shared" si="2"/>
        <v>56.19047619047619</v>
      </c>
      <c r="K20" s="7">
        <v>59</v>
      </c>
      <c r="L20" s="11">
        <f t="shared" si="1"/>
        <v>0.59999999999999987</v>
      </c>
    </row>
    <row r="21" spans="2:12" x14ac:dyDescent="0.35">
      <c r="B21" s="2" t="s">
        <v>569</v>
      </c>
      <c r="C21" s="3">
        <v>100000326622</v>
      </c>
      <c r="D21" s="4">
        <v>128225</v>
      </c>
      <c r="E21" s="16">
        <v>4047443329004</v>
      </c>
      <c r="F21" s="2" t="s">
        <v>572</v>
      </c>
      <c r="G21" s="2" t="s">
        <v>637</v>
      </c>
      <c r="H21" s="6" t="s">
        <v>46</v>
      </c>
      <c r="I21" s="12">
        <f t="shared" si="0"/>
        <v>68.19047619047619</v>
      </c>
      <c r="J21" s="13">
        <f t="shared" si="2"/>
        <v>170.47619047619048</v>
      </c>
      <c r="K21" s="7">
        <v>179</v>
      </c>
      <c r="L21" s="11">
        <f t="shared" si="1"/>
        <v>0.6</v>
      </c>
    </row>
    <row r="22" spans="2:12" x14ac:dyDescent="0.35">
      <c r="B22" s="2" t="s">
        <v>569</v>
      </c>
      <c r="C22" s="3">
        <v>100000328983</v>
      </c>
      <c r="D22" s="4" t="s">
        <v>579</v>
      </c>
      <c r="E22" s="16">
        <v>100000328983</v>
      </c>
      <c r="F22" s="2" t="s">
        <v>572</v>
      </c>
      <c r="G22" s="2" t="s">
        <v>637</v>
      </c>
      <c r="H22" s="6" t="s">
        <v>47</v>
      </c>
      <c r="I22" s="12">
        <f t="shared" si="0"/>
        <v>26.285714285714285</v>
      </c>
      <c r="J22" s="13">
        <f t="shared" si="2"/>
        <v>65.714285714285708</v>
      </c>
      <c r="K22" s="7">
        <v>69</v>
      </c>
      <c r="L22" s="11">
        <f t="shared" si="1"/>
        <v>0.6</v>
      </c>
    </row>
    <row r="23" spans="2:12" x14ac:dyDescent="0.35">
      <c r="B23" s="2" t="s">
        <v>569</v>
      </c>
      <c r="C23" s="3">
        <v>100000328981</v>
      </c>
      <c r="D23" s="4" t="s">
        <v>580</v>
      </c>
      <c r="E23" s="16">
        <v>2200009813535</v>
      </c>
      <c r="F23" s="2" t="s">
        <v>572</v>
      </c>
      <c r="G23" s="2" t="s">
        <v>637</v>
      </c>
      <c r="H23" s="6" t="s">
        <v>48</v>
      </c>
      <c r="I23" s="12">
        <f t="shared" si="0"/>
        <v>37.714285714285715</v>
      </c>
      <c r="J23" s="13">
        <f t="shared" si="2"/>
        <v>94.285714285714278</v>
      </c>
      <c r="K23" s="7">
        <v>99</v>
      </c>
      <c r="L23" s="11">
        <f t="shared" si="1"/>
        <v>0.6</v>
      </c>
    </row>
    <row r="24" spans="2:12" x14ac:dyDescent="0.35">
      <c r="B24" s="2" t="s">
        <v>569</v>
      </c>
      <c r="C24" s="3">
        <v>100000268801</v>
      </c>
      <c r="D24" s="4">
        <v>118626</v>
      </c>
      <c r="E24" s="16">
        <v>4047443198464</v>
      </c>
      <c r="F24" s="2" t="s">
        <v>572</v>
      </c>
      <c r="G24" s="2" t="s">
        <v>637</v>
      </c>
      <c r="H24" s="6" t="s">
        <v>49</v>
      </c>
      <c r="I24" s="12">
        <f t="shared" si="0"/>
        <v>216.76190476190479</v>
      </c>
      <c r="J24" s="13">
        <f t="shared" si="2"/>
        <v>541.90476190476193</v>
      </c>
      <c r="K24" s="7">
        <v>569</v>
      </c>
      <c r="L24" s="11">
        <f t="shared" si="1"/>
        <v>0.59999999999999987</v>
      </c>
    </row>
    <row r="25" spans="2:12" x14ac:dyDescent="0.35">
      <c r="B25" s="2" t="s">
        <v>569</v>
      </c>
      <c r="C25" s="3">
        <v>100000334371</v>
      </c>
      <c r="D25" s="4">
        <v>18790</v>
      </c>
      <c r="E25" s="16">
        <v>4007249187901</v>
      </c>
      <c r="F25" s="2" t="s">
        <v>572</v>
      </c>
      <c r="G25" s="2" t="s">
        <v>637</v>
      </c>
      <c r="H25" s="6" t="s">
        <v>50</v>
      </c>
      <c r="I25" s="12">
        <f t="shared" si="0"/>
        <v>190.0952380952381</v>
      </c>
      <c r="J25" s="13">
        <f t="shared" si="2"/>
        <v>475.23809523809524</v>
      </c>
      <c r="K25" s="7">
        <v>499</v>
      </c>
      <c r="L25" s="11">
        <f t="shared" si="1"/>
        <v>0.6</v>
      </c>
    </row>
    <row r="26" spans="2:12" x14ac:dyDescent="0.35">
      <c r="B26" s="2" t="s">
        <v>569</v>
      </c>
      <c r="C26" s="3">
        <v>100000334372</v>
      </c>
      <c r="D26" s="4">
        <v>18793</v>
      </c>
      <c r="E26" s="16">
        <v>4007249187932</v>
      </c>
      <c r="F26" s="2" t="s">
        <v>572</v>
      </c>
      <c r="G26" s="2" t="s">
        <v>637</v>
      </c>
      <c r="H26" s="6" t="s">
        <v>51</v>
      </c>
      <c r="I26" s="12">
        <f t="shared" si="0"/>
        <v>228.1904761904762</v>
      </c>
      <c r="J26" s="13">
        <f t="shared" si="2"/>
        <v>570.47619047619048</v>
      </c>
      <c r="K26" s="7">
        <v>599</v>
      </c>
      <c r="L26" s="11">
        <f t="shared" si="1"/>
        <v>0.6</v>
      </c>
    </row>
    <row r="27" spans="2:12" x14ac:dyDescent="0.35">
      <c r="B27" s="2" t="s">
        <v>569</v>
      </c>
      <c r="C27" s="3">
        <v>100000334373</v>
      </c>
      <c r="D27" s="4">
        <v>18796</v>
      </c>
      <c r="E27" s="16">
        <v>4007249187963</v>
      </c>
      <c r="F27" s="2" t="s">
        <v>572</v>
      </c>
      <c r="G27" s="2" t="s">
        <v>637</v>
      </c>
      <c r="H27" s="6" t="s">
        <v>52</v>
      </c>
      <c r="I27" s="12">
        <f t="shared" si="0"/>
        <v>304.38095238095241</v>
      </c>
      <c r="J27" s="13">
        <f t="shared" si="2"/>
        <v>760.95238095238096</v>
      </c>
      <c r="K27" s="7">
        <v>799</v>
      </c>
      <c r="L27" s="11">
        <f t="shared" si="1"/>
        <v>0.6</v>
      </c>
    </row>
    <row r="28" spans="2:12" x14ac:dyDescent="0.35">
      <c r="B28" s="2" t="s">
        <v>569</v>
      </c>
      <c r="C28" s="3">
        <v>100000334374</v>
      </c>
      <c r="D28" s="4">
        <v>17799</v>
      </c>
      <c r="E28" s="16">
        <v>4007249177995</v>
      </c>
      <c r="F28" s="2" t="s">
        <v>572</v>
      </c>
      <c r="G28" s="2" t="s">
        <v>637</v>
      </c>
      <c r="H28" s="6" t="s">
        <v>53</v>
      </c>
      <c r="I28" s="12">
        <f t="shared" si="0"/>
        <v>418.66666666666663</v>
      </c>
      <c r="J28" s="13">
        <f t="shared" si="2"/>
        <v>1046.6666666666665</v>
      </c>
      <c r="K28" s="7">
        <v>1099</v>
      </c>
      <c r="L28" s="11">
        <f t="shared" si="1"/>
        <v>0.6</v>
      </c>
    </row>
    <row r="29" spans="2:12" x14ac:dyDescent="0.35">
      <c r="B29" s="2" t="s">
        <v>569</v>
      </c>
      <c r="C29" s="3">
        <v>100000337038</v>
      </c>
      <c r="D29" s="4">
        <v>39863</v>
      </c>
      <c r="E29" s="16">
        <v>4007249398635</v>
      </c>
      <c r="F29" s="2" t="s">
        <v>572</v>
      </c>
      <c r="G29" s="2" t="s">
        <v>637</v>
      </c>
      <c r="H29" s="6" t="s">
        <v>54</v>
      </c>
      <c r="I29" s="12">
        <f t="shared" si="0"/>
        <v>14.857142857142856</v>
      </c>
      <c r="J29" s="13">
        <f t="shared" si="2"/>
        <v>37.142857142857139</v>
      </c>
      <c r="K29" s="7">
        <v>39</v>
      </c>
      <c r="L29" s="11">
        <f t="shared" si="1"/>
        <v>0.60000000000000009</v>
      </c>
    </row>
    <row r="30" spans="2:12" x14ac:dyDescent="0.35">
      <c r="B30" s="2" t="s">
        <v>569</v>
      </c>
      <c r="C30" s="3">
        <v>100000337039</v>
      </c>
      <c r="D30" s="4">
        <v>118127</v>
      </c>
      <c r="E30" s="16">
        <v>4047443381033</v>
      </c>
      <c r="F30" s="2" t="s">
        <v>572</v>
      </c>
      <c r="G30" s="2" t="s">
        <v>637</v>
      </c>
      <c r="H30" s="6" t="s">
        <v>55</v>
      </c>
      <c r="I30" s="12">
        <f t="shared" si="0"/>
        <v>49.142857142857139</v>
      </c>
      <c r="J30" s="13">
        <f t="shared" si="2"/>
        <v>122.85714285714285</v>
      </c>
      <c r="K30" s="7">
        <v>129</v>
      </c>
      <c r="L30" s="11">
        <f t="shared" si="1"/>
        <v>0.6</v>
      </c>
    </row>
    <row r="31" spans="2:12" x14ac:dyDescent="0.35">
      <c r="B31" s="2" t="s">
        <v>569</v>
      </c>
      <c r="C31" s="3">
        <v>100000002664</v>
      </c>
      <c r="D31" s="4">
        <v>56595</v>
      </c>
      <c r="E31" s="16">
        <v>4007249565952</v>
      </c>
      <c r="F31" s="2" t="s">
        <v>572</v>
      </c>
      <c r="G31" s="2" t="s">
        <v>637</v>
      </c>
      <c r="H31" s="6" t="s">
        <v>56</v>
      </c>
      <c r="I31" s="12">
        <f t="shared" si="0"/>
        <v>22.476190476190478</v>
      </c>
      <c r="J31" s="13">
        <f t="shared" si="2"/>
        <v>56.19047619047619</v>
      </c>
      <c r="K31" s="7">
        <v>59</v>
      </c>
      <c r="L31" s="11">
        <f t="shared" si="1"/>
        <v>0.59999999999999987</v>
      </c>
    </row>
    <row r="32" spans="2:12" x14ac:dyDescent="0.35">
      <c r="B32" s="2" t="s">
        <v>569</v>
      </c>
      <c r="C32" s="3">
        <v>100000337188</v>
      </c>
      <c r="D32" s="4">
        <v>113806</v>
      </c>
      <c r="E32" s="16">
        <v>4047443385543</v>
      </c>
      <c r="F32" s="2" t="s">
        <v>572</v>
      </c>
      <c r="G32" s="2" t="s">
        <v>637</v>
      </c>
      <c r="H32" s="6" t="s">
        <v>57</v>
      </c>
      <c r="I32" s="12">
        <f t="shared" si="0"/>
        <v>11.047619047619047</v>
      </c>
      <c r="J32" s="13">
        <f t="shared" si="2"/>
        <v>27.619047619047617</v>
      </c>
      <c r="K32" s="7">
        <v>29</v>
      </c>
      <c r="L32" s="11">
        <f t="shared" si="1"/>
        <v>0.6</v>
      </c>
    </row>
    <row r="33" spans="2:12" x14ac:dyDescent="0.35">
      <c r="B33" s="2" t="s">
        <v>569</v>
      </c>
      <c r="C33" s="3">
        <v>100000324445</v>
      </c>
      <c r="D33" s="4">
        <v>118107</v>
      </c>
      <c r="E33" s="16">
        <v>4047443318190</v>
      </c>
      <c r="F33" s="2" t="s">
        <v>572</v>
      </c>
      <c r="G33" s="2" t="s">
        <v>637</v>
      </c>
      <c r="H33" s="6" t="s">
        <v>58</v>
      </c>
      <c r="I33" s="12">
        <f t="shared" si="0"/>
        <v>22.476190476190478</v>
      </c>
      <c r="J33" s="13">
        <f t="shared" si="2"/>
        <v>56.19047619047619</v>
      </c>
      <c r="K33" s="7">
        <v>59</v>
      </c>
      <c r="L33" s="11">
        <f t="shared" si="1"/>
        <v>0.59999999999999987</v>
      </c>
    </row>
    <row r="34" spans="2:12" x14ac:dyDescent="0.35">
      <c r="B34" s="2" t="s">
        <v>569</v>
      </c>
      <c r="C34" s="3">
        <v>100000243645</v>
      </c>
      <c r="D34" s="4" t="s">
        <v>581</v>
      </c>
      <c r="E34" s="16">
        <v>4047443443366</v>
      </c>
      <c r="F34" s="2" t="s">
        <v>572</v>
      </c>
      <c r="G34" s="2" t="s">
        <v>637</v>
      </c>
      <c r="H34" s="6" t="s">
        <v>59</v>
      </c>
      <c r="I34" s="12">
        <f t="shared" si="0"/>
        <v>26.285714285714285</v>
      </c>
      <c r="J34" s="13">
        <f t="shared" si="2"/>
        <v>65.714285714285708</v>
      </c>
      <c r="K34" s="7">
        <v>69</v>
      </c>
      <c r="L34" s="11">
        <f t="shared" si="1"/>
        <v>0.6</v>
      </c>
    </row>
    <row r="35" spans="2:12" x14ac:dyDescent="0.35">
      <c r="B35" s="2" t="s">
        <v>569</v>
      </c>
      <c r="C35" s="3">
        <v>100000337189</v>
      </c>
      <c r="D35" s="4">
        <v>122107</v>
      </c>
      <c r="E35" s="16">
        <v>4047443190642</v>
      </c>
      <c r="F35" s="2" t="s">
        <v>572</v>
      </c>
      <c r="G35" s="2" t="s">
        <v>637</v>
      </c>
      <c r="H35" s="6" t="s">
        <v>60</v>
      </c>
      <c r="I35" s="12">
        <f t="shared" si="0"/>
        <v>41.523809523809526</v>
      </c>
      <c r="J35" s="13">
        <f t="shared" si="2"/>
        <v>103.80952380952381</v>
      </c>
      <c r="K35" s="7">
        <v>109</v>
      </c>
      <c r="L35" s="11">
        <f t="shared" si="1"/>
        <v>0.6</v>
      </c>
    </row>
    <row r="36" spans="2:12" x14ac:dyDescent="0.35">
      <c r="B36" s="2" t="s">
        <v>569</v>
      </c>
      <c r="C36" s="3">
        <v>100000324426</v>
      </c>
      <c r="D36" s="4">
        <v>122210</v>
      </c>
      <c r="E36" s="16">
        <v>4047443333919</v>
      </c>
      <c r="F36" s="2" t="s">
        <v>572</v>
      </c>
      <c r="G36" s="2" t="s">
        <v>637</v>
      </c>
      <c r="H36" s="6" t="s">
        <v>61</v>
      </c>
      <c r="I36" s="12">
        <f t="shared" si="0"/>
        <v>43.80952380952381</v>
      </c>
      <c r="J36" s="13">
        <f t="shared" si="2"/>
        <v>109.52380952380952</v>
      </c>
      <c r="K36" s="7">
        <v>115</v>
      </c>
      <c r="L36" s="11">
        <f t="shared" si="1"/>
        <v>0.6</v>
      </c>
    </row>
    <row r="37" spans="2:12" x14ac:dyDescent="0.35">
      <c r="B37" s="2" t="s">
        <v>569</v>
      </c>
      <c r="C37" s="3">
        <v>100000337190</v>
      </c>
      <c r="D37" s="4">
        <v>205241</v>
      </c>
      <c r="E37" s="16">
        <v>4047443438973</v>
      </c>
      <c r="F37" s="2" t="s">
        <v>572</v>
      </c>
      <c r="G37" s="2" t="s">
        <v>637</v>
      </c>
      <c r="H37" s="6" t="s">
        <v>62</v>
      </c>
      <c r="I37" s="12">
        <f t="shared" si="0"/>
        <v>22.476190476190478</v>
      </c>
      <c r="J37" s="13">
        <f t="shared" si="2"/>
        <v>56.19047619047619</v>
      </c>
      <c r="K37" s="7">
        <v>59</v>
      </c>
      <c r="L37" s="11">
        <f t="shared" si="1"/>
        <v>0.59999999999999987</v>
      </c>
    </row>
    <row r="38" spans="2:12" x14ac:dyDescent="0.35">
      <c r="B38" s="2" t="s">
        <v>569</v>
      </c>
      <c r="C38" s="3">
        <v>100000337191</v>
      </c>
      <c r="D38" s="4">
        <v>205242</v>
      </c>
      <c r="E38" s="16">
        <v>4047443439079</v>
      </c>
      <c r="F38" s="2" t="s">
        <v>572</v>
      </c>
      <c r="G38" s="2" t="s">
        <v>637</v>
      </c>
      <c r="H38" s="6" t="s">
        <v>63</v>
      </c>
      <c r="I38" s="12">
        <f t="shared" si="0"/>
        <v>30.095238095238098</v>
      </c>
      <c r="J38" s="13">
        <f t="shared" si="2"/>
        <v>75.238095238095241</v>
      </c>
      <c r="K38" s="7">
        <v>79</v>
      </c>
      <c r="L38" s="11">
        <f t="shared" si="1"/>
        <v>0.6</v>
      </c>
    </row>
    <row r="39" spans="2:12" x14ac:dyDescent="0.35">
      <c r="B39" s="2" t="s">
        <v>569</v>
      </c>
      <c r="C39" s="3">
        <v>100000337192</v>
      </c>
      <c r="D39" s="4">
        <v>205243</v>
      </c>
      <c r="E39" s="16">
        <v>4047443439116</v>
      </c>
      <c r="F39" s="2" t="s">
        <v>572</v>
      </c>
      <c r="G39" s="2" t="s">
        <v>637</v>
      </c>
      <c r="H39" s="6" t="s">
        <v>64</v>
      </c>
      <c r="I39" s="12">
        <f t="shared" si="0"/>
        <v>37.714285714285715</v>
      </c>
      <c r="J39" s="13">
        <f t="shared" si="2"/>
        <v>94.285714285714278</v>
      </c>
      <c r="K39" s="7">
        <v>99</v>
      </c>
      <c r="L39" s="11">
        <f t="shared" si="1"/>
        <v>0.6</v>
      </c>
    </row>
    <row r="40" spans="2:12" x14ac:dyDescent="0.35">
      <c r="B40" s="2" t="s">
        <v>569</v>
      </c>
      <c r="C40" s="3">
        <v>100000337217</v>
      </c>
      <c r="D40" s="4">
        <v>118098</v>
      </c>
      <c r="E40" s="16">
        <v>4047443415301</v>
      </c>
      <c r="F40" s="2" t="s">
        <v>572</v>
      </c>
      <c r="G40" s="2" t="s">
        <v>637</v>
      </c>
      <c r="H40" s="6" t="s">
        <v>65</v>
      </c>
      <c r="I40" s="12">
        <f t="shared" si="0"/>
        <v>247.23809523809524</v>
      </c>
      <c r="J40" s="13">
        <f t="shared" si="2"/>
        <v>618.09523809523807</v>
      </c>
      <c r="K40" s="7">
        <v>649</v>
      </c>
      <c r="L40" s="11">
        <f t="shared" si="1"/>
        <v>0.6</v>
      </c>
    </row>
    <row r="41" spans="2:12" x14ac:dyDescent="0.35">
      <c r="B41" s="2" t="s">
        <v>569</v>
      </c>
      <c r="C41" s="3">
        <v>100000337239</v>
      </c>
      <c r="D41" s="4">
        <v>200505</v>
      </c>
      <c r="E41" s="16">
        <v>4047443445186</v>
      </c>
      <c r="F41" s="2" t="s">
        <v>572</v>
      </c>
      <c r="G41" s="2" t="s">
        <v>637</v>
      </c>
      <c r="H41" s="6" t="s">
        <v>66</v>
      </c>
      <c r="I41" s="12">
        <f t="shared" si="0"/>
        <v>37.714285714285715</v>
      </c>
      <c r="J41" s="13">
        <f t="shared" si="2"/>
        <v>94.285714285714278</v>
      </c>
      <c r="K41" s="7">
        <v>99</v>
      </c>
      <c r="L41" s="11">
        <f t="shared" si="1"/>
        <v>0.6</v>
      </c>
    </row>
    <row r="42" spans="2:12" x14ac:dyDescent="0.35">
      <c r="B42" s="2" t="s">
        <v>569</v>
      </c>
      <c r="C42" s="3">
        <v>100000337240</v>
      </c>
      <c r="D42" s="4">
        <v>200696</v>
      </c>
      <c r="E42" s="16">
        <v>4047443444684</v>
      </c>
      <c r="F42" s="2" t="s">
        <v>572</v>
      </c>
      <c r="G42" s="2" t="s">
        <v>637</v>
      </c>
      <c r="H42" s="6" t="s">
        <v>67</v>
      </c>
      <c r="I42" s="12">
        <f t="shared" si="0"/>
        <v>22.476190476190478</v>
      </c>
      <c r="J42" s="13">
        <f t="shared" si="2"/>
        <v>56.19047619047619</v>
      </c>
      <c r="K42" s="7">
        <v>59</v>
      </c>
      <c r="L42" s="11">
        <f t="shared" si="1"/>
        <v>0.59999999999999987</v>
      </c>
    </row>
    <row r="43" spans="2:12" x14ac:dyDescent="0.35">
      <c r="B43" s="2" t="s">
        <v>569</v>
      </c>
      <c r="C43" s="3">
        <v>100000337252</v>
      </c>
      <c r="D43" s="4">
        <v>200707</v>
      </c>
      <c r="E43" s="16">
        <v>4047443444721</v>
      </c>
      <c r="F43" s="2" t="s">
        <v>572</v>
      </c>
      <c r="G43" s="2" t="s">
        <v>637</v>
      </c>
      <c r="H43" s="6" t="s">
        <v>68</v>
      </c>
      <c r="I43" s="12">
        <f t="shared" ref="I43:I106" si="3">0.4*J43</f>
        <v>18.666666666666668</v>
      </c>
      <c r="J43" s="13">
        <f t="shared" si="2"/>
        <v>46.666666666666664</v>
      </c>
      <c r="K43" s="7">
        <v>49</v>
      </c>
      <c r="L43" s="11">
        <f t="shared" ref="L43:L106" si="4">(J43-I43)/J43</f>
        <v>0.6</v>
      </c>
    </row>
    <row r="44" spans="2:12" x14ac:dyDescent="0.35">
      <c r="B44" s="2" t="s">
        <v>569</v>
      </c>
      <c r="C44" s="3">
        <v>100000337253</v>
      </c>
      <c r="D44" s="4">
        <v>200708</v>
      </c>
      <c r="E44" s="16">
        <v>4047443444738</v>
      </c>
      <c r="F44" s="2" t="s">
        <v>572</v>
      </c>
      <c r="G44" s="2" t="s">
        <v>637</v>
      </c>
      <c r="H44" s="6" t="s">
        <v>69</v>
      </c>
      <c r="I44" s="12">
        <f t="shared" si="3"/>
        <v>22.476190476190478</v>
      </c>
      <c r="J44" s="13">
        <f t="shared" si="2"/>
        <v>56.19047619047619</v>
      </c>
      <c r="K44" s="7">
        <v>59</v>
      </c>
      <c r="L44" s="11">
        <f t="shared" si="4"/>
        <v>0.59999999999999987</v>
      </c>
    </row>
    <row r="45" spans="2:12" x14ac:dyDescent="0.35">
      <c r="B45" s="2" t="s">
        <v>569</v>
      </c>
      <c r="C45" s="3">
        <v>100000337254</v>
      </c>
      <c r="D45" s="4">
        <v>200710</v>
      </c>
      <c r="E45" s="16">
        <v>4047443444745</v>
      </c>
      <c r="F45" s="2" t="s">
        <v>572</v>
      </c>
      <c r="G45" s="2" t="s">
        <v>637</v>
      </c>
      <c r="H45" s="6" t="s">
        <v>70</v>
      </c>
      <c r="I45" s="12">
        <f t="shared" si="3"/>
        <v>26.285714285714285</v>
      </c>
      <c r="J45" s="13">
        <f t="shared" si="2"/>
        <v>65.714285714285708</v>
      </c>
      <c r="K45" s="7">
        <v>69</v>
      </c>
      <c r="L45" s="11">
        <f t="shared" si="4"/>
        <v>0.6</v>
      </c>
    </row>
    <row r="46" spans="2:12" x14ac:dyDescent="0.35">
      <c r="B46" s="2" t="s">
        <v>569</v>
      </c>
      <c r="C46" s="3">
        <v>100000337255</v>
      </c>
      <c r="D46" s="4">
        <v>200712</v>
      </c>
      <c r="E46" s="16">
        <v>4047443444769</v>
      </c>
      <c r="F46" s="2" t="s">
        <v>572</v>
      </c>
      <c r="G46" s="2" t="s">
        <v>637</v>
      </c>
      <c r="H46" s="6" t="s">
        <v>71</v>
      </c>
      <c r="I46" s="12">
        <f t="shared" si="3"/>
        <v>37.714285714285715</v>
      </c>
      <c r="J46" s="13">
        <f t="shared" si="2"/>
        <v>94.285714285714278</v>
      </c>
      <c r="K46" s="7">
        <v>99</v>
      </c>
      <c r="L46" s="11">
        <f t="shared" si="4"/>
        <v>0.6</v>
      </c>
    </row>
    <row r="47" spans="2:12" x14ac:dyDescent="0.35">
      <c r="B47" s="2" t="s">
        <v>569</v>
      </c>
      <c r="C47" s="3">
        <v>100000337256</v>
      </c>
      <c r="D47" s="4">
        <v>200730</v>
      </c>
      <c r="E47" s="16">
        <v>4047443444868</v>
      </c>
      <c r="F47" s="2" t="s">
        <v>572</v>
      </c>
      <c r="G47" s="2" t="s">
        <v>637</v>
      </c>
      <c r="H47" s="6" t="s">
        <v>72</v>
      </c>
      <c r="I47" s="12">
        <f t="shared" si="3"/>
        <v>33.904761904761905</v>
      </c>
      <c r="J47" s="13">
        <f t="shared" si="2"/>
        <v>84.761904761904759</v>
      </c>
      <c r="K47" s="7">
        <v>89</v>
      </c>
      <c r="L47" s="11">
        <f t="shared" si="4"/>
        <v>0.6</v>
      </c>
    </row>
    <row r="48" spans="2:12" x14ac:dyDescent="0.35">
      <c r="B48" s="2" t="s">
        <v>569</v>
      </c>
      <c r="C48" s="3">
        <v>100000337257</v>
      </c>
      <c r="D48" s="4">
        <v>205005</v>
      </c>
      <c r="E48" s="16">
        <v>4047443439253</v>
      </c>
      <c r="F48" s="2" t="s">
        <v>572</v>
      </c>
      <c r="G48" s="2" t="s">
        <v>637</v>
      </c>
      <c r="H48" s="6" t="s">
        <v>73</v>
      </c>
      <c r="I48" s="12">
        <f t="shared" si="3"/>
        <v>18.666666666666668</v>
      </c>
      <c r="J48" s="13">
        <f t="shared" si="2"/>
        <v>46.666666666666664</v>
      </c>
      <c r="K48" s="7">
        <v>49</v>
      </c>
      <c r="L48" s="11">
        <f t="shared" si="4"/>
        <v>0.6</v>
      </c>
    </row>
    <row r="49" spans="2:12" x14ac:dyDescent="0.35">
      <c r="B49" s="2" t="s">
        <v>569</v>
      </c>
      <c r="C49" s="3">
        <v>100000337258</v>
      </c>
      <c r="D49" s="4">
        <v>205006</v>
      </c>
      <c r="E49" s="16">
        <v>4047443439352</v>
      </c>
      <c r="F49" s="2" t="s">
        <v>572</v>
      </c>
      <c r="G49" s="2" t="s">
        <v>637</v>
      </c>
      <c r="H49" s="6" t="s">
        <v>74</v>
      </c>
      <c r="I49" s="12">
        <f t="shared" si="3"/>
        <v>26.285714285714285</v>
      </c>
      <c r="J49" s="13">
        <f t="shared" si="2"/>
        <v>65.714285714285708</v>
      </c>
      <c r="K49" s="7">
        <v>69</v>
      </c>
      <c r="L49" s="11">
        <f t="shared" si="4"/>
        <v>0.6</v>
      </c>
    </row>
    <row r="50" spans="2:12" x14ac:dyDescent="0.35">
      <c r="B50" s="2" t="s">
        <v>569</v>
      </c>
      <c r="C50" s="3">
        <v>100000337259</v>
      </c>
      <c r="D50" s="4">
        <v>205007</v>
      </c>
      <c r="E50" s="16">
        <v>4047443439390</v>
      </c>
      <c r="F50" s="2" t="s">
        <v>572</v>
      </c>
      <c r="G50" s="2" t="s">
        <v>637</v>
      </c>
      <c r="H50" s="6" t="s">
        <v>75</v>
      </c>
      <c r="I50" s="12">
        <f t="shared" si="3"/>
        <v>33.904761904761905</v>
      </c>
      <c r="J50" s="13">
        <f t="shared" si="2"/>
        <v>84.761904761904759</v>
      </c>
      <c r="K50" s="7">
        <v>89</v>
      </c>
      <c r="L50" s="11">
        <f t="shared" si="4"/>
        <v>0.6</v>
      </c>
    </row>
    <row r="51" spans="2:12" x14ac:dyDescent="0.35">
      <c r="B51" s="2" t="s">
        <v>569</v>
      </c>
      <c r="C51" s="3">
        <v>100000337260</v>
      </c>
      <c r="D51" s="4">
        <v>205009</v>
      </c>
      <c r="E51" s="16">
        <v>4047443441768</v>
      </c>
      <c r="F51" s="2" t="s">
        <v>572</v>
      </c>
      <c r="G51" s="2" t="s">
        <v>637</v>
      </c>
      <c r="H51" s="6" t="s">
        <v>76</v>
      </c>
      <c r="I51" s="12">
        <f t="shared" si="3"/>
        <v>75.80952380952381</v>
      </c>
      <c r="J51" s="13">
        <f t="shared" si="2"/>
        <v>189.52380952380952</v>
      </c>
      <c r="K51" s="7">
        <v>199</v>
      </c>
      <c r="L51" s="11">
        <f t="shared" si="4"/>
        <v>0.6</v>
      </c>
    </row>
    <row r="52" spans="2:12" x14ac:dyDescent="0.35">
      <c r="B52" s="2" t="s">
        <v>569</v>
      </c>
      <c r="C52" s="3">
        <v>100000337261</v>
      </c>
      <c r="D52" s="4">
        <v>205011</v>
      </c>
      <c r="E52" s="16">
        <v>4047443434593</v>
      </c>
      <c r="F52" s="2" t="s">
        <v>572</v>
      </c>
      <c r="G52" s="2" t="s">
        <v>637</v>
      </c>
      <c r="H52" s="6" t="s">
        <v>77</v>
      </c>
      <c r="I52" s="12">
        <f t="shared" si="3"/>
        <v>33.904761904761905</v>
      </c>
      <c r="J52" s="13">
        <f t="shared" si="2"/>
        <v>84.761904761904759</v>
      </c>
      <c r="K52" s="7">
        <v>89</v>
      </c>
      <c r="L52" s="11">
        <f t="shared" si="4"/>
        <v>0.6</v>
      </c>
    </row>
    <row r="53" spans="2:12" x14ac:dyDescent="0.35">
      <c r="B53" s="2" t="s">
        <v>569</v>
      </c>
      <c r="C53" s="3">
        <v>100000337262</v>
      </c>
      <c r="D53" s="4">
        <v>205013</v>
      </c>
      <c r="E53" s="16">
        <v>4047443439512</v>
      </c>
      <c r="F53" s="2" t="s">
        <v>572</v>
      </c>
      <c r="G53" s="2" t="s">
        <v>637</v>
      </c>
      <c r="H53" s="6" t="s">
        <v>78</v>
      </c>
      <c r="I53" s="12">
        <f t="shared" si="3"/>
        <v>33.904761904761905</v>
      </c>
      <c r="J53" s="13">
        <f t="shared" si="2"/>
        <v>84.761904761904759</v>
      </c>
      <c r="K53" s="7">
        <v>89</v>
      </c>
      <c r="L53" s="11">
        <f t="shared" si="4"/>
        <v>0.6</v>
      </c>
    </row>
    <row r="54" spans="2:12" x14ac:dyDescent="0.35">
      <c r="B54" s="2" t="s">
        <v>569</v>
      </c>
      <c r="C54" s="3">
        <v>100000337263</v>
      </c>
      <c r="D54" s="4">
        <v>205015</v>
      </c>
      <c r="E54" s="16">
        <v>4047443438614</v>
      </c>
      <c r="F54" s="2" t="s">
        <v>572</v>
      </c>
      <c r="G54" s="2" t="s">
        <v>637</v>
      </c>
      <c r="H54" s="6" t="s">
        <v>79</v>
      </c>
      <c r="I54" s="12">
        <f t="shared" si="3"/>
        <v>26.285714285714285</v>
      </c>
      <c r="J54" s="13">
        <f t="shared" si="2"/>
        <v>65.714285714285708</v>
      </c>
      <c r="K54" s="7">
        <v>69</v>
      </c>
      <c r="L54" s="11">
        <f t="shared" si="4"/>
        <v>0.6</v>
      </c>
    </row>
    <row r="55" spans="2:12" x14ac:dyDescent="0.35">
      <c r="B55" s="2" t="s">
        <v>569</v>
      </c>
      <c r="C55" s="3">
        <v>100000337264</v>
      </c>
      <c r="D55" s="4">
        <v>205018</v>
      </c>
      <c r="E55" s="16">
        <v>4047443438638</v>
      </c>
      <c r="F55" s="2" t="s">
        <v>572</v>
      </c>
      <c r="G55" s="2" t="s">
        <v>637</v>
      </c>
      <c r="H55" s="6" t="s">
        <v>80</v>
      </c>
      <c r="I55" s="12">
        <f t="shared" si="3"/>
        <v>22.476190476190478</v>
      </c>
      <c r="J55" s="13">
        <f t="shared" si="2"/>
        <v>56.19047619047619</v>
      </c>
      <c r="K55" s="7">
        <v>59</v>
      </c>
      <c r="L55" s="11">
        <f t="shared" si="4"/>
        <v>0.59999999999999987</v>
      </c>
    </row>
    <row r="56" spans="2:12" x14ac:dyDescent="0.35">
      <c r="B56" s="2" t="s">
        <v>569</v>
      </c>
      <c r="C56" s="3">
        <v>100000337265</v>
      </c>
      <c r="D56" s="4">
        <v>205021</v>
      </c>
      <c r="E56" s="16">
        <v>4047443438607</v>
      </c>
      <c r="F56" s="2" t="s">
        <v>572</v>
      </c>
      <c r="G56" s="2" t="s">
        <v>637</v>
      </c>
      <c r="H56" s="6" t="s">
        <v>81</v>
      </c>
      <c r="I56" s="12">
        <f t="shared" si="3"/>
        <v>45.333333333333336</v>
      </c>
      <c r="J56" s="13">
        <f t="shared" si="2"/>
        <v>113.33333333333333</v>
      </c>
      <c r="K56" s="7">
        <v>119</v>
      </c>
      <c r="L56" s="11">
        <f t="shared" si="4"/>
        <v>0.6</v>
      </c>
    </row>
    <row r="57" spans="2:12" x14ac:dyDescent="0.35">
      <c r="B57" s="2" t="s">
        <v>569</v>
      </c>
      <c r="C57" s="3">
        <v>100000337266</v>
      </c>
      <c r="D57" s="4">
        <v>205022</v>
      </c>
      <c r="E57" s="16">
        <v>4047443434272</v>
      </c>
      <c r="F57" s="2" t="s">
        <v>572</v>
      </c>
      <c r="G57" s="2" t="s">
        <v>637</v>
      </c>
      <c r="H57" s="6" t="s">
        <v>82</v>
      </c>
      <c r="I57" s="12">
        <f t="shared" si="3"/>
        <v>33.904761904761905</v>
      </c>
      <c r="J57" s="13">
        <f t="shared" si="2"/>
        <v>84.761904761904759</v>
      </c>
      <c r="K57" s="7">
        <v>89</v>
      </c>
      <c r="L57" s="11">
        <f t="shared" si="4"/>
        <v>0.6</v>
      </c>
    </row>
    <row r="58" spans="2:12" x14ac:dyDescent="0.35">
      <c r="B58" s="2" t="s">
        <v>569</v>
      </c>
      <c r="C58" s="3">
        <v>100000337267</v>
      </c>
      <c r="D58" s="4">
        <v>205114</v>
      </c>
      <c r="E58" s="16">
        <v>4047443438669</v>
      </c>
      <c r="F58" s="2" t="s">
        <v>572</v>
      </c>
      <c r="G58" s="2" t="s">
        <v>637</v>
      </c>
      <c r="H58" s="6" t="s">
        <v>83</v>
      </c>
      <c r="I58" s="12">
        <f t="shared" si="3"/>
        <v>14.857142857142856</v>
      </c>
      <c r="J58" s="13">
        <f t="shared" si="2"/>
        <v>37.142857142857139</v>
      </c>
      <c r="K58" s="7">
        <v>39</v>
      </c>
      <c r="L58" s="11">
        <f t="shared" si="4"/>
        <v>0.60000000000000009</v>
      </c>
    </row>
    <row r="59" spans="2:12" x14ac:dyDescent="0.35">
      <c r="B59" s="2" t="s">
        <v>569</v>
      </c>
      <c r="C59" s="3">
        <v>100000337268</v>
      </c>
      <c r="D59" s="4">
        <v>205122</v>
      </c>
      <c r="E59" s="16">
        <v>4047443440143</v>
      </c>
      <c r="F59" s="2" t="s">
        <v>572</v>
      </c>
      <c r="G59" s="2" t="s">
        <v>637</v>
      </c>
      <c r="H59" s="6" t="s">
        <v>84</v>
      </c>
      <c r="I59" s="12">
        <f t="shared" si="3"/>
        <v>18.666666666666668</v>
      </c>
      <c r="J59" s="13">
        <f t="shared" si="2"/>
        <v>46.666666666666664</v>
      </c>
      <c r="K59" s="7">
        <v>49</v>
      </c>
      <c r="L59" s="11">
        <f t="shared" si="4"/>
        <v>0.6</v>
      </c>
    </row>
    <row r="60" spans="2:12" x14ac:dyDescent="0.35">
      <c r="B60" s="2" t="s">
        <v>569</v>
      </c>
      <c r="C60" s="3">
        <v>100000337309</v>
      </c>
      <c r="D60" s="4">
        <v>205134</v>
      </c>
      <c r="E60" s="16">
        <v>4047443434388</v>
      </c>
      <c r="F60" s="2" t="s">
        <v>572</v>
      </c>
      <c r="G60" s="2" t="s">
        <v>637</v>
      </c>
      <c r="H60" s="6" t="s">
        <v>85</v>
      </c>
      <c r="I60" s="12">
        <f t="shared" si="3"/>
        <v>14.857142857142856</v>
      </c>
      <c r="J60" s="13">
        <f t="shared" si="2"/>
        <v>37.142857142857139</v>
      </c>
      <c r="K60" s="7">
        <v>39</v>
      </c>
      <c r="L60" s="11">
        <f t="shared" si="4"/>
        <v>0.60000000000000009</v>
      </c>
    </row>
    <row r="61" spans="2:12" x14ac:dyDescent="0.35">
      <c r="B61" s="2" t="s">
        <v>569</v>
      </c>
      <c r="C61" s="3">
        <v>100000337310</v>
      </c>
      <c r="D61" s="4">
        <v>205135</v>
      </c>
      <c r="E61" s="16">
        <v>4047443434395</v>
      </c>
      <c r="F61" s="2" t="s">
        <v>572</v>
      </c>
      <c r="G61" s="2" t="s">
        <v>637</v>
      </c>
      <c r="H61" s="6" t="s">
        <v>86</v>
      </c>
      <c r="I61" s="12">
        <f t="shared" si="3"/>
        <v>18.666666666666668</v>
      </c>
      <c r="J61" s="13">
        <f t="shared" si="2"/>
        <v>46.666666666666664</v>
      </c>
      <c r="K61" s="7">
        <v>49</v>
      </c>
      <c r="L61" s="11">
        <f t="shared" si="4"/>
        <v>0.6</v>
      </c>
    </row>
    <row r="62" spans="2:12" x14ac:dyDescent="0.35">
      <c r="B62" s="2" t="s">
        <v>569</v>
      </c>
      <c r="C62" s="3">
        <v>100000337311</v>
      </c>
      <c r="D62" s="4">
        <v>205139</v>
      </c>
      <c r="E62" s="16">
        <v>4047443438492</v>
      </c>
      <c r="F62" s="2" t="s">
        <v>572</v>
      </c>
      <c r="G62" s="2" t="s">
        <v>637</v>
      </c>
      <c r="H62" s="6" t="s">
        <v>87</v>
      </c>
      <c r="I62" s="12">
        <f t="shared" si="3"/>
        <v>33.904761904761905</v>
      </c>
      <c r="J62" s="13">
        <f t="shared" si="2"/>
        <v>84.761904761904759</v>
      </c>
      <c r="K62" s="7">
        <v>89</v>
      </c>
      <c r="L62" s="11">
        <f t="shared" si="4"/>
        <v>0.6</v>
      </c>
    </row>
    <row r="63" spans="2:12" x14ac:dyDescent="0.35">
      <c r="B63" s="2" t="s">
        <v>569</v>
      </c>
      <c r="C63" s="3">
        <v>100000337314</v>
      </c>
      <c r="D63" s="4">
        <v>205144</v>
      </c>
      <c r="E63" s="16">
        <v>4047443445292</v>
      </c>
      <c r="F63" s="2" t="s">
        <v>572</v>
      </c>
      <c r="G63" s="2" t="s">
        <v>637</v>
      </c>
      <c r="H63" s="6" t="s">
        <v>71</v>
      </c>
      <c r="I63" s="12">
        <f t="shared" si="3"/>
        <v>33.904761904761905</v>
      </c>
      <c r="J63" s="13">
        <f t="shared" si="2"/>
        <v>84.761904761904759</v>
      </c>
      <c r="K63" s="7">
        <v>89</v>
      </c>
      <c r="L63" s="11">
        <f t="shared" si="4"/>
        <v>0.6</v>
      </c>
    </row>
    <row r="64" spans="2:12" x14ac:dyDescent="0.35">
      <c r="B64" s="2" t="s">
        <v>569</v>
      </c>
      <c r="C64" s="3">
        <v>100000337328</v>
      </c>
      <c r="D64" s="4">
        <v>205160</v>
      </c>
      <c r="E64" s="16">
        <v>4047443445315</v>
      </c>
      <c r="F64" s="2" t="s">
        <v>572</v>
      </c>
      <c r="G64" s="2" t="s">
        <v>637</v>
      </c>
      <c r="H64" s="6" t="s">
        <v>88</v>
      </c>
      <c r="I64" s="12">
        <f t="shared" si="3"/>
        <v>37.714285714285715</v>
      </c>
      <c r="J64" s="13">
        <f t="shared" si="2"/>
        <v>94.285714285714278</v>
      </c>
      <c r="K64" s="7">
        <v>99</v>
      </c>
      <c r="L64" s="11">
        <f t="shared" si="4"/>
        <v>0.6</v>
      </c>
    </row>
    <row r="65" spans="2:12" x14ac:dyDescent="0.35">
      <c r="B65" s="2" t="s">
        <v>569</v>
      </c>
      <c r="C65" s="3">
        <v>100000337329</v>
      </c>
      <c r="D65" s="4">
        <v>205162</v>
      </c>
      <c r="E65" s="16">
        <v>4047443434661</v>
      </c>
      <c r="F65" s="2" t="s">
        <v>572</v>
      </c>
      <c r="G65" s="2" t="s">
        <v>637</v>
      </c>
      <c r="H65" s="6" t="s">
        <v>89</v>
      </c>
      <c r="I65" s="12">
        <f t="shared" si="3"/>
        <v>37.714285714285715</v>
      </c>
      <c r="J65" s="13">
        <f t="shared" si="2"/>
        <v>94.285714285714278</v>
      </c>
      <c r="K65" s="7">
        <v>99</v>
      </c>
      <c r="L65" s="11">
        <f t="shared" si="4"/>
        <v>0.6</v>
      </c>
    </row>
    <row r="66" spans="2:12" x14ac:dyDescent="0.35">
      <c r="B66" s="2" t="s">
        <v>569</v>
      </c>
      <c r="C66" s="3">
        <v>100000337330</v>
      </c>
      <c r="D66" s="4">
        <v>205180</v>
      </c>
      <c r="E66" s="16">
        <v>4047443434777</v>
      </c>
      <c r="F66" s="2" t="s">
        <v>572</v>
      </c>
      <c r="G66" s="2" t="s">
        <v>637</v>
      </c>
      <c r="H66" s="6" t="s">
        <v>90</v>
      </c>
      <c r="I66" s="12">
        <f t="shared" si="3"/>
        <v>18.666666666666668</v>
      </c>
      <c r="J66" s="13">
        <f t="shared" si="2"/>
        <v>46.666666666666664</v>
      </c>
      <c r="K66" s="7">
        <v>49</v>
      </c>
      <c r="L66" s="11">
        <f t="shared" si="4"/>
        <v>0.6</v>
      </c>
    </row>
    <row r="67" spans="2:12" x14ac:dyDescent="0.35">
      <c r="B67" s="2" t="s">
        <v>569</v>
      </c>
      <c r="C67" s="3">
        <v>100000337331</v>
      </c>
      <c r="D67" s="4">
        <v>205197</v>
      </c>
      <c r="E67" s="16">
        <v>4047443434838</v>
      </c>
      <c r="F67" s="2" t="s">
        <v>572</v>
      </c>
      <c r="G67" s="2" t="s">
        <v>637</v>
      </c>
      <c r="H67" s="6" t="s">
        <v>91</v>
      </c>
      <c r="I67" s="12">
        <f t="shared" si="3"/>
        <v>7.2380952380952381</v>
      </c>
      <c r="J67" s="13">
        <f t="shared" ref="J67:J130" si="5">K67/(1+5%)</f>
        <v>18.095238095238095</v>
      </c>
      <c r="K67" s="7">
        <v>19</v>
      </c>
      <c r="L67" s="11">
        <f t="shared" si="4"/>
        <v>0.60000000000000009</v>
      </c>
    </row>
    <row r="68" spans="2:12" x14ac:dyDescent="0.35">
      <c r="B68" s="2" t="s">
        <v>569</v>
      </c>
      <c r="C68" s="3">
        <v>100000337332</v>
      </c>
      <c r="D68" s="4">
        <v>205238</v>
      </c>
      <c r="E68" s="16">
        <v>4047443434852</v>
      </c>
      <c r="F68" s="2" t="s">
        <v>572</v>
      </c>
      <c r="G68" s="2" t="s">
        <v>637</v>
      </c>
      <c r="H68" s="6" t="s">
        <v>92</v>
      </c>
      <c r="I68" s="12">
        <f t="shared" si="3"/>
        <v>33.904761904761905</v>
      </c>
      <c r="J68" s="13">
        <f t="shared" si="5"/>
        <v>84.761904761904759</v>
      </c>
      <c r="K68" s="7">
        <v>89</v>
      </c>
      <c r="L68" s="11">
        <f t="shared" si="4"/>
        <v>0.6</v>
      </c>
    </row>
    <row r="69" spans="2:12" x14ac:dyDescent="0.35">
      <c r="B69" s="2" t="s">
        <v>569</v>
      </c>
      <c r="C69" s="3">
        <v>100000337333</v>
      </c>
      <c r="D69" s="4">
        <v>205239</v>
      </c>
      <c r="E69" s="16">
        <v>4047443438959</v>
      </c>
      <c r="F69" s="2" t="s">
        <v>572</v>
      </c>
      <c r="G69" s="2" t="s">
        <v>637</v>
      </c>
      <c r="H69" s="6" t="s">
        <v>93</v>
      </c>
      <c r="I69" s="12">
        <f t="shared" si="3"/>
        <v>49.142857142857139</v>
      </c>
      <c r="J69" s="13">
        <f t="shared" si="5"/>
        <v>122.85714285714285</v>
      </c>
      <c r="K69" s="7">
        <v>129</v>
      </c>
      <c r="L69" s="11">
        <f t="shared" si="4"/>
        <v>0.6</v>
      </c>
    </row>
    <row r="70" spans="2:12" x14ac:dyDescent="0.35">
      <c r="B70" s="2" t="s">
        <v>569</v>
      </c>
      <c r="C70" s="3">
        <v>100000337334</v>
      </c>
      <c r="D70" s="4">
        <v>205240</v>
      </c>
      <c r="E70" s="16">
        <v>4047443438966</v>
      </c>
      <c r="F70" s="2" t="s">
        <v>572</v>
      </c>
      <c r="G70" s="2" t="s">
        <v>637</v>
      </c>
      <c r="H70" s="6" t="s">
        <v>94</v>
      </c>
      <c r="I70" s="12">
        <f t="shared" si="3"/>
        <v>56.761904761904759</v>
      </c>
      <c r="J70" s="13">
        <f t="shared" si="5"/>
        <v>141.9047619047619</v>
      </c>
      <c r="K70" s="7">
        <v>149</v>
      </c>
      <c r="L70" s="11">
        <f t="shared" si="4"/>
        <v>0.6</v>
      </c>
    </row>
    <row r="71" spans="2:12" x14ac:dyDescent="0.35">
      <c r="B71" s="2" t="s">
        <v>569</v>
      </c>
      <c r="C71" s="3">
        <v>100000338386</v>
      </c>
      <c r="D71" s="4">
        <v>108788</v>
      </c>
      <c r="E71" s="16">
        <v>4047443375674</v>
      </c>
      <c r="F71" s="2" t="s">
        <v>572</v>
      </c>
      <c r="G71" s="2" t="s">
        <v>637</v>
      </c>
      <c r="H71" s="6" t="s">
        <v>95</v>
      </c>
      <c r="I71" s="12">
        <f t="shared" si="3"/>
        <v>129.14285714285714</v>
      </c>
      <c r="J71" s="13">
        <f t="shared" si="5"/>
        <v>322.85714285714283</v>
      </c>
      <c r="K71" s="7">
        <v>339</v>
      </c>
      <c r="L71" s="11">
        <f t="shared" si="4"/>
        <v>0.6</v>
      </c>
    </row>
    <row r="72" spans="2:12" x14ac:dyDescent="0.35">
      <c r="B72" s="2" t="s">
        <v>569</v>
      </c>
      <c r="C72" s="3">
        <v>100000288225</v>
      </c>
      <c r="D72" s="4">
        <v>54547</v>
      </c>
      <c r="E72" s="16">
        <v>4007249545473</v>
      </c>
      <c r="F72" s="2" t="s">
        <v>572</v>
      </c>
      <c r="G72" s="2" t="s">
        <v>637</v>
      </c>
      <c r="H72" s="6" t="s">
        <v>96</v>
      </c>
      <c r="I72" s="12">
        <f t="shared" si="3"/>
        <v>75.80952380952381</v>
      </c>
      <c r="J72" s="13">
        <f t="shared" si="5"/>
        <v>189.52380952380952</v>
      </c>
      <c r="K72" s="7">
        <v>199</v>
      </c>
      <c r="L72" s="11">
        <f t="shared" si="4"/>
        <v>0.6</v>
      </c>
    </row>
    <row r="73" spans="2:12" x14ac:dyDescent="0.35">
      <c r="B73" s="2" t="s">
        <v>569</v>
      </c>
      <c r="C73" s="3">
        <v>100000324419</v>
      </c>
      <c r="D73" s="4">
        <v>42553</v>
      </c>
      <c r="E73" s="16">
        <v>4007249425539</v>
      </c>
      <c r="F73" s="2" t="s">
        <v>572</v>
      </c>
      <c r="G73" s="2" t="s">
        <v>637</v>
      </c>
      <c r="H73" s="6" t="s">
        <v>97</v>
      </c>
      <c r="I73" s="12">
        <f t="shared" si="3"/>
        <v>26.285714285714285</v>
      </c>
      <c r="J73" s="13">
        <f t="shared" si="5"/>
        <v>65.714285714285708</v>
      </c>
      <c r="K73" s="7">
        <v>69</v>
      </c>
      <c r="L73" s="11">
        <f t="shared" si="4"/>
        <v>0.6</v>
      </c>
    </row>
    <row r="74" spans="2:12" x14ac:dyDescent="0.35">
      <c r="B74" s="2" t="s">
        <v>569</v>
      </c>
      <c r="C74" s="3">
        <v>100000338387</v>
      </c>
      <c r="D74" s="4" t="s">
        <v>582</v>
      </c>
      <c r="E74" s="16">
        <v>4047443443373</v>
      </c>
      <c r="F74" s="2" t="s">
        <v>572</v>
      </c>
      <c r="G74" s="2" t="s">
        <v>637</v>
      </c>
      <c r="H74" s="6" t="s">
        <v>98</v>
      </c>
      <c r="I74" s="12">
        <f t="shared" si="3"/>
        <v>14.857142857142856</v>
      </c>
      <c r="J74" s="13">
        <f t="shared" si="5"/>
        <v>37.142857142857139</v>
      </c>
      <c r="K74" s="7">
        <v>39</v>
      </c>
      <c r="L74" s="11">
        <f t="shared" si="4"/>
        <v>0.60000000000000009</v>
      </c>
    </row>
    <row r="75" spans="2:12" x14ac:dyDescent="0.35">
      <c r="B75" s="2" t="s">
        <v>569</v>
      </c>
      <c r="C75" s="3">
        <v>100000288226</v>
      </c>
      <c r="D75" s="4">
        <v>78302</v>
      </c>
      <c r="E75" s="16">
        <v>4007249783028</v>
      </c>
      <c r="F75" s="2" t="s">
        <v>572</v>
      </c>
      <c r="G75" s="2" t="s">
        <v>637</v>
      </c>
      <c r="H75" s="6" t="s">
        <v>99</v>
      </c>
      <c r="I75" s="12">
        <f t="shared" si="3"/>
        <v>13.333333333333332</v>
      </c>
      <c r="J75" s="13">
        <f t="shared" si="5"/>
        <v>33.333333333333329</v>
      </c>
      <c r="K75" s="7">
        <v>35</v>
      </c>
      <c r="L75" s="11">
        <f t="shared" si="4"/>
        <v>0.6</v>
      </c>
    </row>
    <row r="76" spans="2:12" x14ac:dyDescent="0.35">
      <c r="B76" s="2" t="s">
        <v>569</v>
      </c>
      <c r="C76" s="3">
        <v>100000002062</v>
      </c>
      <c r="D76" s="4">
        <v>43090</v>
      </c>
      <c r="E76" s="16">
        <v>4007249430908</v>
      </c>
      <c r="F76" s="2" t="s">
        <v>572</v>
      </c>
      <c r="G76" s="2" t="s">
        <v>637</v>
      </c>
      <c r="H76" s="6" t="s">
        <v>100</v>
      </c>
      <c r="I76" s="12">
        <f t="shared" si="3"/>
        <v>14.857142857142856</v>
      </c>
      <c r="J76" s="13">
        <f t="shared" si="5"/>
        <v>37.142857142857139</v>
      </c>
      <c r="K76" s="7">
        <v>39</v>
      </c>
      <c r="L76" s="11">
        <f t="shared" si="4"/>
        <v>0.60000000000000009</v>
      </c>
    </row>
    <row r="77" spans="2:12" x14ac:dyDescent="0.35">
      <c r="B77" s="2" t="s">
        <v>569</v>
      </c>
      <c r="C77" s="3">
        <v>100000339516</v>
      </c>
      <c r="D77" s="4">
        <v>18783</v>
      </c>
      <c r="E77" s="16">
        <v>4007249187833</v>
      </c>
      <c r="F77" s="2" t="s">
        <v>572</v>
      </c>
      <c r="G77" s="2" t="s">
        <v>637</v>
      </c>
      <c r="H77" s="6" t="s">
        <v>101</v>
      </c>
      <c r="I77" s="12">
        <f t="shared" si="3"/>
        <v>494.85714285714289</v>
      </c>
      <c r="J77" s="13">
        <f t="shared" si="5"/>
        <v>1237.1428571428571</v>
      </c>
      <c r="K77" s="7">
        <v>1299</v>
      </c>
      <c r="L77" s="11">
        <f t="shared" si="4"/>
        <v>0.6</v>
      </c>
    </row>
    <row r="78" spans="2:12" x14ac:dyDescent="0.35">
      <c r="B78" s="2" t="s">
        <v>569</v>
      </c>
      <c r="C78" s="3">
        <v>100000339517</v>
      </c>
      <c r="D78" s="4">
        <v>118064</v>
      </c>
      <c r="E78" s="16">
        <v>4047443448330</v>
      </c>
      <c r="F78" s="2" t="s">
        <v>572</v>
      </c>
      <c r="G78" s="2" t="s">
        <v>637</v>
      </c>
      <c r="H78" s="6" t="s">
        <v>102</v>
      </c>
      <c r="I78" s="12">
        <f t="shared" si="3"/>
        <v>304.38095238095241</v>
      </c>
      <c r="J78" s="13">
        <f t="shared" si="5"/>
        <v>760.95238095238096</v>
      </c>
      <c r="K78" s="7">
        <v>799</v>
      </c>
      <c r="L78" s="11">
        <f t="shared" si="4"/>
        <v>0.6</v>
      </c>
    </row>
    <row r="79" spans="2:12" x14ac:dyDescent="0.35">
      <c r="B79" s="2" t="s">
        <v>569</v>
      </c>
      <c r="C79" s="3">
        <v>100000339518</v>
      </c>
      <c r="D79" s="4">
        <v>139917</v>
      </c>
      <c r="E79" s="16">
        <v>4047443456144</v>
      </c>
      <c r="F79" s="2" t="s">
        <v>572</v>
      </c>
      <c r="G79" s="2" t="s">
        <v>637</v>
      </c>
      <c r="H79" s="6" t="s">
        <v>103</v>
      </c>
      <c r="I79" s="12">
        <f t="shared" si="3"/>
        <v>113.90476190476191</v>
      </c>
      <c r="J79" s="13">
        <f t="shared" si="5"/>
        <v>284.76190476190476</v>
      </c>
      <c r="K79" s="7">
        <v>299</v>
      </c>
      <c r="L79" s="11">
        <f t="shared" si="4"/>
        <v>0.59999999999999987</v>
      </c>
    </row>
    <row r="80" spans="2:12" x14ac:dyDescent="0.35">
      <c r="B80" s="2" t="s">
        <v>569</v>
      </c>
      <c r="C80" s="3">
        <v>100000339519</v>
      </c>
      <c r="D80" s="4">
        <v>118686</v>
      </c>
      <c r="E80" s="16">
        <v>4047443463944</v>
      </c>
      <c r="F80" s="2" t="s">
        <v>572</v>
      </c>
      <c r="G80" s="2" t="s">
        <v>637</v>
      </c>
      <c r="H80" s="6" t="s">
        <v>104</v>
      </c>
      <c r="I80" s="12">
        <f t="shared" si="3"/>
        <v>14.857142857142856</v>
      </c>
      <c r="J80" s="13">
        <f t="shared" si="5"/>
        <v>37.142857142857139</v>
      </c>
      <c r="K80" s="7">
        <v>39</v>
      </c>
      <c r="L80" s="11">
        <f t="shared" si="4"/>
        <v>0.60000000000000009</v>
      </c>
    </row>
    <row r="81" spans="2:12" x14ac:dyDescent="0.35">
      <c r="B81" s="2" t="s">
        <v>569</v>
      </c>
      <c r="C81" s="3">
        <v>100000344285</v>
      </c>
      <c r="D81" s="4">
        <v>108712</v>
      </c>
      <c r="E81" s="16">
        <v>4047443373984</v>
      </c>
      <c r="F81" s="2" t="s">
        <v>572</v>
      </c>
      <c r="G81" s="2" t="s">
        <v>637</v>
      </c>
      <c r="H81" s="6" t="s">
        <v>105</v>
      </c>
      <c r="I81" s="12">
        <f t="shared" si="3"/>
        <v>163.42857142857144</v>
      </c>
      <c r="J81" s="13">
        <f t="shared" si="5"/>
        <v>408.57142857142856</v>
      </c>
      <c r="K81" s="7">
        <v>429</v>
      </c>
      <c r="L81" s="11">
        <f t="shared" si="4"/>
        <v>0.6</v>
      </c>
    </row>
    <row r="82" spans="2:12" x14ac:dyDescent="0.35">
      <c r="B82" s="2" t="s">
        <v>569</v>
      </c>
      <c r="C82" s="3">
        <v>100000344288</v>
      </c>
      <c r="D82" s="4">
        <v>113807</v>
      </c>
      <c r="E82" s="16">
        <v>4047443385536</v>
      </c>
      <c r="F82" s="2" t="s">
        <v>572</v>
      </c>
      <c r="G82" s="2" t="s">
        <v>637</v>
      </c>
      <c r="H82" s="6" t="s">
        <v>106</v>
      </c>
      <c r="I82" s="12">
        <f t="shared" si="3"/>
        <v>7.2380952380952381</v>
      </c>
      <c r="J82" s="13">
        <f t="shared" si="5"/>
        <v>18.095238095238095</v>
      </c>
      <c r="K82" s="7">
        <v>19</v>
      </c>
      <c r="L82" s="11">
        <f t="shared" si="4"/>
        <v>0.60000000000000009</v>
      </c>
    </row>
    <row r="83" spans="2:12" x14ac:dyDescent="0.35">
      <c r="B83" s="2" t="s">
        <v>569</v>
      </c>
      <c r="C83" s="3">
        <v>100000344287</v>
      </c>
      <c r="D83" s="4">
        <v>118060</v>
      </c>
      <c r="E83" s="16">
        <v>4047443400383</v>
      </c>
      <c r="F83" s="2" t="s">
        <v>572</v>
      </c>
      <c r="G83" s="2" t="s">
        <v>637</v>
      </c>
      <c r="H83" s="6" t="s">
        <v>107</v>
      </c>
      <c r="I83" s="12">
        <f t="shared" si="3"/>
        <v>216.76190476190479</v>
      </c>
      <c r="J83" s="13">
        <f t="shared" si="5"/>
        <v>541.90476190476193</v>
      </c>
      <c r="K83" s="7">
        <v>569</v>
      </c>
      <c r="L83" s="11">
        <f t="shared" si="4"/>
        <v>0.59999999999999987</v>
      </c>
    </row>
    <row r="84" spans="2:12" x14ac:dyDescent="0.35">
      <c r="B84" s="2" t="s">
        <v>569</v>
      </c>
      <c r="C84" s="3">
        <v>100000344283</v>
      </c>
      <c r="D84" s="4">
        <v>118624</v>
      </c>
      <c r="E84" s="16">
        <v>4047443192264</v>
      </c>
      <c r="F84" s="2" t="s">
        <v>572</v>
      </c>
      <c r="G84" s="2" t="s">
        <v>637</v>
      </c>
      <c r="H84" s="6" t="s">
        <v>108</v>
      </c>
      <c r="I84" s="12">
        <f t="shared" si="3"/>
        <v>64.38095238095238</v>
      </c>
      <c r="J84" s="13">
        <f t="shared" si="5"/>
        <v>160.95238095238093</v>
      </c>
      <c r="K84" s="7">
        <v>169</v>
      </c>
      <c r="L84" s="11">
        <f t="shared" si="4"/>
        <v>0.6</v>
      </c>
    </row>
    <row r="85" spans="2:12" x14ac:dyDescent="0.35">
      <c r="B85" s="2" t="s">
        <v>569</v>
      </c>
      <c r="C85" s="3">
        <v>100000253821</v>
      </c>
      <c r="D85" s="4">
        <v>122227</v>
      </c>
      <c r="E85" s="16">
        <v>4047443198082</v>
      </c>
      <c r="F85" s="2" t="s">
        <v>572</v>
      </c>
      <c r="G85" s="2" t="s">
        <v>637</v>
      </c>
      <c r="H85" s="6" t="s">
        <v>109</v>
      </c>
      <c r="I85" s="12">
        <f t="shared" si="3"/>
        <v>32.38095238095238</v>
      </c>
      <c r="J85" s="13">
        <f t="shared" si="5"/>
        <v>80.952380952380949</v>
      </c>
      <c r="K85" s="7">
        <v>85</v>
      </c>
      <c r="L85" s="11">
        <f t="shared" si="4"/>
        <v>0.6</v>
      </c>
    </row>
    <row r="86" spans="2:12" x14ac:dyDescent="0.35">
      <c r="B86" s="2" t="s">
        <v>569</v>
      </c>
      <c r="C86" s="3">
        <v>100000345311</v>
      </c>
      <c r="D86" s="4">
        <v>118490</v>
      </c>
      <c r="E86" s="16">
        <v>4047443469564</v>
      </c>
      <c r="F86" s="2" t="s">
        <v>572</v>
      </c>
      <c r="G86" s="2" t="s">
        <v>637</v>
      </c>
      <c r="H86" s="6" t="s">
        <v>110</v>
      </c>
      <c r="I86" s="12">
        <f t="shared" si="3"/>
        <v>75.80952380952381</v>
      </c>
      <c r="J86" s="13">
        <f t="shared" si="5"/>
        <v>189.52380952380952</v>
      </c>
      <c r="K86" s="7">
        <v>199</v>
      </c>
      <c r="L86" s="11">
        <f t="shared" si="4"/>
        <v>0.6</v>
      </c>
    </row>
    <row r="87" spans="2:12" x14ac:dyDescent="0.35">
      <c r="B87" s="2" t="s">
        <v>569</v>
      </c>
      <c r="C87" s="3">
        <v>100000003531</v>
      </c>
      <c r="D87" s="4">
        <v>43359</v>
      </c>
      <c r="E87" s="16">
        <v>4007249433596</v>
      </c>
      <c r="F87" s="2" t="s">
        <v>572</v>
      </c>
      <c r="G87" s="2" t="s">
        <v>637</v>
      </c>
      <c r="H87" s="6" t="s">
        <v>111</v>
      </c>
      <c r="I87" s="12">
        <f t="shared" si="3"/>
        <v>14.857142857142856</v>
      </c>
      <c r="J87" s="13">
        <f t="shared" si="5"/>
        <v>37.142857142857139</v>
      </c>
      <c r="K87" s="7">
        <v>39</v>
      </c>
      <c r="L87" s="11">
        <f t="shared" si="4"/>
        <v>0.60000000000000009</v>
      </c>
    </row>
    <row r="88" spans="2:12" x14ac:dyDescent="0.35">
      <c r="B88" s="2" t="s">
        <v>569</v>
      </c>
      <c r="C88" s="3">
        <v>100000345312</v>
      </c>
      <c r="D88" s="4">
        <v>118075</v>
      </c>
      <c r="E88" s="16">
        <v>4047443446305</v>
      </c>
      <c r="F88" s="2" t="s">
        <v>572</v>
      </c>
      <c r="G88" s="2" t="s">
        <v>637</v>
      </c>
      <c r="H88" s="6" t="s">
        <v>112</v>
      </c>
      <c r="I88" s="12">
        <f t="shared" si="3"/>
        <v>190.0952380952381</v>
      </c>
      <c r="J88" s="13">
        <f t="shared" si="5"/>
        <v>475.23809523809524</v>
      </c>
      <c r="K88" s="7">
        <v>499</v>
      </c>
      <c r="L88" s="11">
        <f t="shared" si="4"/>
        <v>0.6</v>
      </c>
    </row>
    <row r="89" spans="2:12" x14ac:dyDescent="0.35">
      <c r="B89" s="2" t="s">
        <v>569</v>
      </c>
      <c r="C89" s="3">
        <v>100000356767</v>
      </c>
      <c r="D89" s="4">
        <v>118129</v>
      </c>
      <c r="E89" s="16">
        <v>4047443487452</v>
      </c>
      <c r="F89" s="2" t="s">
        <v>572</v>
      </c>
      <c r="G89" s="2" t="s">
        <v>637</v>
      </c>
      <c r="H89" s="6" t="s">
        <v>113</v>
      </c>
      <c r="I89" s="12">
        <f t="shared" si="3"/>
        <v>113.90476190476191</v>
      </c>
      <c r="J89" s="13">
        <f t="shared" si="5"/>
        <v>284.76190476190476</v>
      </c>
      <c r="K89" s="7">
        <v>299</v>
      </c>
      <c r="L89" s="11">
        <f t="shared" si="4"/>
        <v>0.59999999999999987</v>
      </c>
    </row>
    <row r="90" spans="2:12" x14ac:dyDescent="0.35">
      <c r="B90" s="2" t="s">
        <v>569</v>
      </c>
      <c r="C90" s="3">
        <v>100000356769</v>
      </c>
      <c r="D90" s="4">
        <v>118095</v>
      </c>
      <c r="E90" s="16">
        <v>4047443448477</v>
      </c>
      <c r="F90" s="2" t="s">
        <v>572</v>
      </c>
      <c r="G90" s="2" t="s">
        <v>637</v>
      </c>
      <c r="H90" s="6" t="s">
        <v>114</v>
      </c>
      <c r="I90" s="12">
        <f t="shared" si="3"/>
        <v>136.76190476190476</v>
      </c>
      <c r="J90" s="13">
        <f t="shared" si="5"/>
        <v>341.90476190476187</v>
      </c>
      <c r="K90" s="7">
        <v>359</v>
      </c>
      <c r="L90" s="11">
        <f t="shared" si="4"/>
        <v>0.6</v>
      </c>
    </row>
    <row r="91" spans="2:12" x14ac:dyDescent="0.35">
      <c r="B91" s="2" t="s">
        <v>569</v>
      </c>
      <c r="C91" s="3">
        <v>100000359730</v>
      </c>
      <c r="D91" s="4">
        <v>220870</v>
      </c>
      <c r="E91" s="16">
        <v>4047443510211</v>
      </c>
      <c r="F91" s="2" t="s">
        <v>572</v>
      </c>
      <c r="G91" s="2" t="s">
        <v>637</v>
      </c>
      <c r="H91" s="6" t="s">
        <v>115</v>
      </c>
      <c r="I91" s="12">
        <f t="shared" si="3"/>
        <v>190.0952380952381</v>
      </c>
      <c r="J91" s="13">
        <f t="shared" si="5"/>
        <v>475.23809523809524</v>
      </c>
      <c r="K91" s="7">
        <v>499</v>
      </c>
      <c r="L91" s="11">
        <f t="shared" si="4"/>
        <v>0.6</v>
      </c>
    </row>
    <row r="92" spans="2:12" x14ac:dyDescent="0.35">
      <c r="B92" s="2" t="s">
        <v>569</v>
      </c>
      <c r="C92" s="3">
        <v>100000359728</v>
      </c>
      <c r="D92" s="4">
        <v>220872</v>
      </c>
      <c r="E92" s="16">
        <v>4047443510280</v>
      </c>
      <c r="F92" s="2" t="s">
        <v>572</v>
      </c>
      <c r="G92" s="2" t="s">
        <v>637</v>
      </c>
      <c r="H92" s="6" t="s">
        <v>116</v>
      </c>
      <c r="I92" s="12">
        <f t="shared" si="3"/>
        <v>220.57142857142858</v>
      </c>
      <c r="J92" s="13">
        <f t="shared" si="5"/>
        <v>551.42857142857144</v>
      </c>
      <c r="K92" s="7">
        <v>579</v>
      </c>
      <c r="L92" s="11">
        <f t="shared" si="4"/>
        <v>0.60000000000000009</v>
      </c>
    </row>
    <row r="93" spans="2:12" x14ac:dyDescent="0.35">
      <c r="B93" s="2" t="s">
        <v>569</v>
      </c>
      <c r="C93" s="3">
        <v>100000361035</v>
      </c>
      <c r="D93" s="4">
        <v>220838</v>
      </c>
      <c r="E93" s="16">
        <v>4047443509567</v>
      </c>
      <c r="F93" s="2" t="s">
        <v>572</v>
      </c>
      <c r="G93" s="2" t="s">
        <v>637</v>
      </c>
      <c r="H93" s="6" t="s">
        <v>117</v>
      </c>
      <c r="I93" s="12">
        <f t="shared" si="3"/>
        <v>228.1904761904762</v>
      </c>
      <c r="J93" s="13">
        <f t="shared" si="5"/>
        <v>570.47619047619048</v>
      </c>
      <c r="K93" s="7">
        <v>599</v>
      </c>
      <c r="L93" s="11">
        <f t="shared" si="4"/>
        <v>0.6</v>
      </c>
    </row>
    <row r="94" spans="2:12" x14ac:dyDescent="0.35">
      <c r="B94" s="2" t="s">
        <v>569</v>
      </c>
      <c r="C94" s="3">
        <v>100000359729</v>
      </c>
      <c r="D94" s="4">
        <v>220874</v>
      </c>
      <c r="E94" s="16">
        <v>4047443509680</v>
      </c>
      <c r="F94" s="2" t="s">
        <v>572</v>
      </c>
      <c r="G94" s="2" t="s">
        <v>637</v>
      </c>
      <c r="H94" s="6" t="s">
        <v>118</v>
      </c>
      <c r="I94" s="12">
        <f t="shared" si="3"/>
        <v>247.23809523809524</v>
      </c>
      <c r="J94" s="13">
        <f t="shared" si="5"/>
        <v>618.09523809523807</v>
      </c>
      <c r="K94" s="7">
        <v>649</v>
      </c>
      <c r="L94" s="11">
        <f t="shared" si="4"/>
        <v>0.6</v>
      </c>
    </row>
    <row r="95" spans="2:12" x14ac:dyDescent="0.35">
      <c r="B95" s="2" t="s">
        <v>569</v>
      </c>
      <c r="C95" s="3">
        <v>100000361036</v>
      </c>
      <c r="D95" s="4">
        <v>221054</v>
      </c>
      <c r="E95" s="16">
        <v>4047443506627</v>
      </c>
      <c r="F95" s="2" t="s">
        <v>572</v>
      </c>
      <c r="G95" s="2" t="s">
        <v>637</v>
      </c>
      <c r="H95" s="6" t="s">
        <v>119</v>
      </c>
      <c r="I95" s="12">
        <f t="shared" si="3"/>
        <v>26.285714285714285</v>
      </c>
      <c r="J95" s="13">
        <f t="shared" si="5"/>
        <v>65.714285714285708</v>
      </c>
      <c r="K95" s="7">
        <v>69</v>
      </c>
      <c r="L95" s="11">
        <f t="shared" si="4"/>
        <v>0.6</v>
      </c>
    </row>
    <row r="96" spans="2:12" x14ac:dyDescent="0.35">
      <c r="B96" s="2" t="s">
        <v>569</v>
      </c>
      <c r="C96" s="3">
        <v>100000364376</v>
      </c>
      <c r="D96" s="4">
        <v>220831</v>
      </c>
      <c r="E96" s="16">
        <v>4047443509512</v>
      </c>
      <c r="F96" s="2" t="s">
        <v>572</v>
      </c>
      <c r="G96" s="2" t="s">
        <v>637</v>
      </c>
      <c r="H96" s="6" t="s">
        <v>120</v>
      </c>
      <c r="I96" s="12">
        <f t="shared" si="3"/>
        <v>113.90476190476191</v>
      </c>
      <c r="J96" s="13">
        <f t="shared" si="5"/>
        <v>284.76190476190476</v>
      </c>
      <c r="K96" s="7">
        <v>299</v>
      </c>
      <c r="L96" s="11">
        <f t="shared" si="4"/>
        <v>0.59999999999999987</v>
      </c>
    </row>
    <row r="97" spans="2:12" x14ac:dyDescent="0.35">
      <c r="B97" s="2" t="s">
        <v>569</v>
      </c>
      <c r="C97" s="3">
        <v>100000364377</v>
      </c>
      <c r="D97" s="4">
        <v>220832</v>
      </c>
      <c r="E97" s="16">
        <v>4047443509307</v>
      </c>
      <c r="F97" s="2" t="s">
        <v>572</v>
      </c>
      <c r="G97" s="2" t="s">
        <v>637</v>
      </c>
      <c r="H97" s="6" t="s">
        <v>121</v>
      </c>
      <c r="I97" s="12">
        <f t="shared" si="3"/>
        <v>75.80952380952381</v>
      </c>
      <c r="J97" s="13">
        <f t="shared" si="5"/>
        <v>189.52380952380952</v>
      </c>
      <c r="K97" s="7">
        <v>199</v>
      </c>
      <c r="L97" s="11">
        <f t="shared" si="4"/>
        <v>0.6</v>
      </c>
    </row>
    <row r="98" spans="2:12" x14ac:dyDescent="0.35">
      <c r="B98" s="2" t="s">
        <v>569</v>
      </c>
      <c r="C98" s="3">
        <v>100000364378</v>
      </c>
      <c r="D98" s="4">
        <v>220830</v>
      </c>
      <c r="E98" s="16">
        <v>4047443509499</v>
      </c>
      <c r="F98" s="2" t="s">
        <v>572</v>
      </c>
      <c r="G98" s="2" t="s">
        <v>637</v>
      </c>
      <c r="H98" s="6" t="s">
        <v>122</v>
      </c>
      <c r="I98" s="12">
        <f t="shared" si="3"/>
        <v>94.857142857142861</v>
      </c>
      <c r="J98" s="13">
        <f t="shared" si="5"/>
        <v>237.14285714285714</v>
      </c>
      <c r="K98" s="7">
        <v>249</v>
      </c>
      <c r="L98" s="11">
        <f t="shared" si="4"/>
        <v>0.6</v>
      </c>
    </row>
    <row r="99" spans="2:12" x14ac:dyDescent="0.35">
      <c r="B99" s="2" t="s">
        <v>569</v>
      </c>
      <c r="C99" s="3">
        <v>100000368006</v>
      </c>
      <c r="D99" s="4">
        <v>220839</v>
      </c>
      <c r="E99" s="16">
        <v>4047443509604</v>
      </c>
      <c r="F99" s="2" t="s">
        <v>572</v>
      </c>
      <c r="G99" s="2" t="s">
        <v>637</v>
      </c>
      <c r="H99" s="6" t="s">
        <v>123</v>
      </c>
      <c r="I99" s="12">
        <f t="shared" si="3"/>
        <v>342.47619047619048</v>
      </c>
      <c r="J99" s="13">
        <f t="shared" si="5"/>
        <v>856.19047619047615</v>
      </c>
      <c r="K99" s="7">
        <v>899</v>
      </c>
      <c r="L99" s="11">
        <f t="shared" si="4"/>
        <v>0.6</v>
      </c>
    </row>
    <row r="100" spans="2:12" x14ac:dyDescent="0.35">
      <c r="B100" s="2" t="s">
        <v>569</v>
      </c>
      <c r="C100" s="3">
        <v>100000368007</v>
      </c>
      <c r="D100" s="4">
        <v>220875</v>
      </c>
      <c r="E100" s="16">
        <v>4047443509673</v>
      </c>
      <c r="F100" s="2" t="s">
        <v>572</v>
      </c>
      <c r="G100" s="2" t="s">
        <v>637</v>
      </c>
      <c r="H100" s="6" t="s">
        <v>124</v>
      </c>
      <c r="I100" s="12">
        <f t="shared" si="3"/>
        <v>647.2380952380953</v>
      </c>
      <c r="J100" s="13">
        <f t="shared" si="5"/>
        <v>1618.0952380952381</v>
      </c>
      <c r="K100" s="7">
        <v>1699</v>
      </c>
      <c r="L100" s="11">
        <f t="shared" si="4"/>
        <v>0.6</v>
      </c>
    </row>
    <row r="101" spans="2:12" x14ac:dyDescent="0.35">
      <c r="B101" s="2" t="s">
        <v>569</v>
      </c>
      <c r="C101" s="3">
        <v>100000329930</v>
      </c>
      <c r="D101" s="4">
        <v>14152</v>
      </c>
      <c r="E101" s="16">
        <v>4007249141521</v>
      </c>
      <c r="F101" s="2" t="s">
        <v>573</v>
      </c>
      <c r="G101" s="2" t="s">
        <v>637</v>
      </c>
      <c r="H101" s="6" t="s">
        <v>125</v>
      </c>
      <c r="I101" s="12">
        <f t="shared" si="3"/>
        <v>14.857142857142856</v>
      </c>
      <c r="J101" s="13">
        <f t="shared" si="5"/>
        <v>37.142857142857139</v>
      </c>
      <c r="K101" s="7">
        <v>39</v>
      </c>
      <c r="L101" s="11">
        <f t="shared" si="4"/>
        <v>0.60000000000000009</v>
      </c>
    </row>
    <row r="102" spans="2:12" x14ac:dyDescent="0.35">
      <c r="B102" s="2" t="s">
        <v>569</v>
      </c>
      <c r="C102" s="3">
        <v>100000329420</v>
      </c>
      <c r="D102" s="4">
        <v>183339</v>
      </c>
      <c r="E102" s="16">
        <v>4047443406552</v>
      </c>
      <c r="F102" s="2" t="s">
        <v>573</v>
      </c>
      <c r="G102" s="2" t="s">
        <v>637</v>
      </c>
      <c r="H102" s="6" t="s">
        <v>126</v>
      </c>
      <c r="I102" s="12">
        <f t="shared" si="3"/>
        <v>26.285714285714285</v>
      </c>
      <c r="J102" s="13">
        <f t="shared" si="5"/>
        <v>65.714285714285708</v>
      </c>
      <c r="K102" s="7">
        <v>69</v>
      </c>
      <c r="L102" s="11">
        <f t="shared" si="4"/>
        <v>0.6</v>
      </c>
    </row>
    <row r="103" spans="2:12" x14ac:dyDescent="0.35">
      <c r="B103" s="2" t="s">
        <v>569</v>
      </c>
      <c r="C103" s="3">
        <v>100000329933</v>
      </c>
      <c r="D103" s="4">
        <v>183309</v>
      </c>
      <c r="E103" s="16">
        <v>4047443412614</v>
      </c>
      <c r="F103" s="2" t="s">
        <v>573</v>
      </c>
      <c r="G103" s="2" t="s">
        <v>637</v>
      </c>
      <c r="H103" s="6" t="s">
        <v>127</v>
      </c>
      <c r="I103" s="12">
        <f t="shared" si="3"/>
        <v>26.285714285714285</v>
      </c>
      <c r="J103" s="13">
        <f t="shared" si="5"/>
        <v>65.714285714285708</v>
      </c>
      <c r="K103" s="7">
        <v>69</v>
      </c>
      <c r="L103" s="11">
        <f t="shared" si="4"/>
        <v>0.6</v>
      </c>
    </row>
    <row r="104" spans="2:12" x14ac:dyDescent="0.35">
      <c r="B104" s="2" t="s">
        <v>569</v>
      </c>
      <c r="C104" s="3">
        <v>100000329932</v>
      </c>
      <c r="D104" s="4">
        <v>183329</v>
      </c>
      <c r="E104" s="16">
        <v>4047443412119</v>
      </c>
      <c r="F104" s="2" t="s">
        <v>573</v>
      </c>
      <c r="G104" s="2" t="s">
        <v>637</v>
      </c>
      <c r="H104" s="6" t="s">
        <v>128</v>
      </c>
      <c r="I104" s="12">
        <f t="shared" si="3"/>
        <v>18.666666666666668</v>
      </c>
      <c r="J104" s="13">
        <f t="shared" si="5"/>
        <v>46.666666666666664</v>
      </c>
      <c r="K104" s="7">
        <v>49</v>
      </c>
      <c r="L104" s="11">
        <f t="shared" si="4"/>
        <v>0.6</v>
      </c>
    </row>
    <row r="105" spans="2:12" x14ac:dyDescent="0.35">
      <c r="B105" s="2" t="s">
        <v>569</v>
      </c>
      <c r="C105" s="3">
        <v>100000329934</v>
      </c>
      <c r="D105" s="4">
        <v>210589</v>
      </c>
      <c r="E105" s="16">
        <v>4047443443434</v>
      </c>
      <c r="F105" s="2" t="s">
        <v>573</v>
      </c>
      <c r="G105" s="2" t="s">
        <v>637</v>
      </c>
      <c r="H105" s="6" t="s">
        <v>129</v>
      </c>
      <c r="I105" s="12">
        <f t="shared" si="3"/>
        <v>26.285714285714285</v>
      </c>
      <c r="J105" s="13">
        <f t="shared" si="5"/>
        <v>65.714285714285708</v>
      </c>
      <c r="K105" s="7">
        <v>69</v>
      </c>
      <c r="L105" s="11">
        <f t="shared" si="4"/>
        <v>0.6</v>
      </c>
    </row>
    <row r="106" spans="2:12" x14ac:dyDescent="0.35">
      <c r="B106" s="2" t="s">
        <v>569</v>
      </c>
      <c r="C106" s="3">
        <v>100000329931</v>
      </c>
      <c r="D106" s="4">
        <v>73183376</v>
      </c>
      <c r="E106" s="16">
        <v>4047443441935</v>
      </c>
      <c r="F106" s="2" t="s">
        <v>573</v>
      </c>
      <c r="G106" s="2" t="s">
        <v>637</v>
      </c>
      <c r="H106" s="6" t="s">
        <v>130</v>
      </c>
      <c r="I106" s="12">
        <f t="shared" si="3"/>
        <v>102.47619047619048</v>
      </c>
      <c r="J106" s="13">
        <f t="shared" si="5"/>
        <v>256.1904761904762</v>
      </c>
      <c r="K106" s="7">
        <v>269</v>
      </c>
      <c r="L106" s="11">
        <f t="shared" si="4"/>
        <v>0.6</v>
      </c>
    </row>
    <row r="107" spans="2:12" x14ac:dyDescent="0.35">
      <c r="B107" s="2" t="s">
        <v>569</v>
      </c>
      <c r="C107" s="3">
        <v>100000329926</v>
      </c>
      <c r="D107" s="4">
        <v>4605</v>
      </c>
      <c r="E107" s="16">
        <v>4007249046055</v>
      </c>
      <c r="F107" s="2" t="s">
        <v>573</v>
      </c>
      <c r="G107" s="2" t="s">
        <v>637</v>
      </c>
      <c r="H107" s="6" t="s">
        <v>131</v>
      </c>
      <c r="I107" s="12">
        <f t="shared" ref="I107:I170" si="6">0.4*J107</f>
        <v>45.333333333333336</v>
      </c>
      <c r="J107" s="13">
        <f t="shared" si="5"/>
        <v>113.33333333333333</v>
      </c>
      <c r="K107" s="7">
        <v>119</v>
      </c>
      <c r="L107" s="11">
        <f t="shared" ref="L107:L170" si="7">(J107-I107)/J107</f>
        <v>0.6</v>
      </c>
    </row>
    <row r="108" spans="2:12" x14ac:dyDescent="0.35">
      <c r="B108" s="2" t="s">
        <v>569</v>
      </c>
      <c r="C108" s="3">
        <v>100000329927</v>
      </c>
      <c r="D108" s="4">
        <v>4609</v>
      </c>
      <c r="E108" s="16">
        <v>4007249046093</v>
      </c>
      <c r="F108" s="2" t="s">
        <v>573</v>
      </c>
      <c r="G108" s="2" t="s">
        <v>637</v>
      </c>
      <c r="H108" s="6" t="s">
        <v>132</v>
      </c>
      <c r="I108" s="12">
        <f t="shared" si="6"/>
        <v>22.476190476190478</v>
      </c>
      <c r="J108" s="13">
        <f t="shared" si="5"/>
        <v>56.19047619047619</v>
      </c>
      <c r="K108" s="7">
        <v>59</v>
      </c>
      <c r="L108" s="11">
        <f t="shared" si="7"/>
        <v>0.59999999999999987</v>
      </c>
    </row>
    <row r="109" spans="2:12" x14ac:dyDescent="0.35">
      <c r="B109" s="2" t="s">
        <v>569</v>
      </c>
      <c r="C109" s="3">
        <v>100000329928</v>
      </c>
      <c r="D109" s="4">
        <v>4619</v>
      </c>
      <c r="E109" s="16">
        <v>4007249046192</v>
      </c>
      <c r="F109" s="2" t="s">
        <v>573</v>
      </c>
      <c r="G109" s="2" t="s">
        <v>637</v>
      </c>
      <c r="H109" s="6" t="s">
        <v>133</v>
      </c>
      <c r="I109" s="12">
        <f t="shared" si="6"/>
        <v>45.333333333333336</v>
      </c>
      <c r="J109" s="13">
        <f t="shared" si="5"/>
        <v>113.33333333333333</v>
      </c>
      <c r="K109" s="7">
        <v>119</v>
      </c>
      <c r="L109" s="11">
        <f t="shared" si="7"/>
        <v>0.6</v>
      </c>
    </row>
    <row r="110" spans="2:12" x14ac:dyDescent="0.35">
      <c r="B110" s="2" t="s">
        <v>569</v>
      </c>
      <c r="C110" s="3">
        <v>100000329929</v>
      </c>
      <c r="D110" s="4">
        <v>4630</v>
      </c>
      <c r="E110" s="16">
        <v>4007249046307</v>
      </c>
      <c r="F110" s="2" t="s">
        <v>573</v>
      </c>
      <c r="G110" s="2" t="s">
        <v>637</v>
      </c>
      <c r="H110" s="6" t="s">
        <v>134</v>
      </c>
      <c r="I110" s="12">
        <f t="shared" si="6"/>
        <v>49.142857142857139</v>
      </c>
      <c r="J110" s="13">
        <f t="shared" si="5"/>
        <v>122.85714285714285</v>
      </c>
      <c r="K110" s="7">
        <v>129</v>
      </c>
      <c r="L110" s="11">
        <f t="shared" si="7"/>
        <v>0.6</v>
      </c>
    </row>
    <row r="111" spans="2:12" x14ac:dyDescent="0.35">
      <c r="B111" s="2" t="s">
        <v>569</v>
      </c>
      <c r="C111" s="3">
        <v>100000331056</v>
      </c>
      <c r="D111" s="4">
        <v>188676</v>
      </c>
      <c r="E111" s="16">
        <v>4047443450388</v>
      </c>
      <c r="F111" s="2" t="s">
        <v>573</v>
      </c>
      <c r="G111" s="2" t="s">
        <v>637</v>
      </c>
      <c r="H111" s="6" t="s">
        <v>135</v>
      </c>
      <c r="I111" s="12">
        <f t="shared" si="6"/>
        <v>13.333333333333332</v>
      </c>
      <c r="J111" s="13">
        <f t="shared" si="5"/>
        <v>33.333333333333329</v>
      </c>
      <c r="K111" s="7">
        <v>35</v>
      </c>
      <c r="L111" s="11">
        <f t="shared" si="7"/>
        <v>0.6</v>
      </c>
    </row>
    <row r="112" spans="2:12" x14ac:dyDescent="0.35">
      <c r="B112" s="2" t="s">
        <v>569</v>
      </c>
      <c r="C112" s="3">
        <v>100000331057</v>
      </c>
      <c r="D112" s="4">
        <v>188677</v>
      </c>
      <c r="E112" s="16">
        <v>4047443450418</v>
      </c>
      <c r="F112" s="2" t="s">
        <v>573</v>
      </c>
      <c r="G112" s="2" t="s">
        <v>637</v>
      </c>
      <c r="H112" s="6" t="s">
        <v>136</v>
      </c>
      <c r="I112" s="12">
        <f t="shared" si="6"/>
        <v>13.333333333333332</v>
      </c>
      <c r="J112" s="13">
        <f t="shared" si="5"/>
        <v>33.333333333333329</v>
      </c>
      <c r="K112" s="7">
        <v>35</v>
      </c>
      <c r="L112" s="11">
        <f t="shared" si="7"/>
        <v>0.6</v>
      </c>
    </row>
    <row r="113" spans="2:12" x14ac:dyDescent="0.35">
      <c r="B113" s="2" t="s">
        <v>569</v>
      </c>
      <c r="C113" s="3">
        <v>100000331058</v>
      </c>
      <c r="D113" s="4">
        <v>188678</v>
      </c>
      <c r="E113" s="16">
        <v>4047443450579</v>
      </c>
      <c r="F113" s="2" t="s">
        <v>573</v>
      </c>
      <c r="G113" s="2" t="s">
        <v>637</v>
      </c>
      <c r="H113" s="6" t="s">
        <v>137</v>
      </c>
      <c r="I113" s="12">
        <f t="shared" si="6"/>
        <v>13.333333333333332</v>
      </c>
      <c r="J113" s="13">
        <f t="shared" si="5"/>
        <v>33.333333333333329</v>
      </c>
      <c r="K113" s="7">
        <v>35</v>
      </c>
      <c r="L113" s="11">
        <f t="shared" si="7"/>
        <v>0.6</v>
      </c>
    </row>
    <row r="114" spans="2:12" x14ac:dyDescent="0.35">
      <c r="B114" s="2" t="s">
        <v>569</v>
      </c>
      <c r="C114" s="3">
        <v>100000331059</v>
      </c>
      <c r="D114" s="4">
        <v>188809</v>
      </c>
      <c r="E114" s="16">
        <v>4047443448682</v>
      </c>
      <c r="F114" s="2" t="s">
        <v>573</v>
      </c>
      <c r="G114" s="2" t="s">
        <v>637</v>
      </c>
      <c r="H114" s="6" t="s">
        <v>138</v>
      </c>
      <c r="I114" s="12">
        <f t="shared" si="6"/>
        <v>20.952380952380953</v>
      </c>
      <c r="J114" s="13">
        <f t="shared" si="5"/>
        <v>52.38095238095238</v>
      </c>
      <c r="K114" s="7">
        <v>55</v>
      </c>
      <c r="L114" s="11">
        <f t="shared" si="7"/>
        <v>0.6</v>
      </c>
    </row>
    <row r="115" spans="2:12" x14ac:dyDescent="0.35">
      <c r="B115" s="2" t="s">
        <v>569</v>
      </c>
      <c r="C115" s="3">
        <v>100000331060</v>
      </c>
      <c r="D115" s="4">
        <v>188826</v>
      </c>
      <c r="E115" s="16">
        <v>4047443448835</v>
      </c>
      <c r="F115" s="2" t="s">
        <v>573</v>
      </c>
      <c r="G115" s="2" t="s">
        <v>637</v>
      </c>
      <c r="H115" s="6" t="s">
        <v>139</v>
      </c>
      <c r="I115" s="12">
        <f t="shared" si="6"/>
        <v>20.952380952380953</v>
      </c>
      <c r="J115" s="13">
        <f t="shared" si="5"/>
        <v>52.38095238095238</v>
      </c>
      <c r="K115" s="7">
        <v>55</v>
      </c>
      <c r="L115" s="11">
        <f t="shared" si="7"/>
        <v>0.6</v>
      </c>
    </row>
    <row r="116" spans="2:12" x14ac:dyDescent="0.35">
      <c r="B116" s="2" t="s">
        <v>569</v>
      </c>
      <c r="C116" s="3">
        <v>100000331061</v>
      </c>
      <c r="D116" s="4">
        <v>188840</v>
      </c>
      <c r="E116" s="16">
        <v>4047443448996</v>
      </c>
      <c r="F116" s="2" t="s">
        <v>573</v>
      </c>
      <c r="G116" s="2" t="s">
        <v>637</v>
      </c>
      <c r="H116" s="6" t="s">
        <v>140</v>
      </c>
      <c r="I116" s="12">
        <f t="shared" si="6"/>
        <v>20.952380952380953</v>
      </c>
      <c r="J116" s="13">
        <f t="shared" si="5"/>
        <v>52.38095238095238</v>
      </c>
      <c r="K116" s="7">
        <v>55</v>
      </c>
      <c r="L116" s="11">
        <f t="shared" si="7"/>
        <v>0.6</v>
      </c>
    </row>
    <row r="117" spans="2:12" x14ac:dyDescent="0.35">
      <c r="B117" s="2" t="s">
        <v>569</v>
      </c>
      <c r="C117" s="3">
        <v>100000329424</v>
      </c>
      <c r="D117" s="4">
        <v>188321</v>
      </c>
      <c r="E117" s="16">
        <v>4047443437693</v>
      </c>
      <c r="F117" s="2" t="s">
        <v>573</v>
      </c>
      <c r="G117" s="2" t="s">
        <v>637</v>
      </c>
      <c r="H117" s="6" t="s">
        <v>141</v>
      </c>
      <c r="I117" s="12">
        <f t="shared" si="6"/>
        <v>37.714285714285715</v>
      </c>
      <c r="J117" s="13">
        <f t="shared" si="5"/>
        <v>94.285714285714278</v>
      </c>
      <c r="K117" s="7">
        <v>99</v>
      </c>
      <c r="L117" s="11">
        <f t="shared" si="7"/>
        <v>0.6</v>
      </c>
    </row>
    <row r="118" spans="2:12" x14ac:dyDescent="0.35">
      <c r="B118" s="2" t="s">
        <v>569</v>
      </c>
      <c r="C118" s="3">
        <v>100000332834</v>
      </c>
      <c r="D118" s="4">
        <v>178400</v>
      </c>
      <c r="E118" s="16">
        <v>4047443342584</v>
      </c>
      <c r="F118" s="2" t="s">
        <v>573</v>
      </c>
      <c r="G118" s="2" t="s">
        <v>637</v>
      </c>
      <c r="H118" s="6" t="s">
        <v>142</v>
      </c>
      <c r="I118" s="12">
        <f t="shared" si="6"/>
        <v>30.095238095238098</v>
      </c>
      <c r="J118" s="13">
        <f t="shared" si="5"/>
        <v>75.238095238095241</v>
      </c>
      <c r="K118" s="7">
        <v>79</v>
      </c>
      <c r="L118" s="11">
        <f t="shared" si="7"/>
        <v>0.6</v>
      </c>
    </row>
    <row r="119" spans="2:12" x14ac:dyDescent="0.35">
      <c r="B119" s="2" t="s">
        <v>569</v>
      </c>
      <c r="C119" s="3">
        <v>100000332835</v>
      </c>
      <c r="D119" s="4">
        <v>178396</v>
      </c>
      <c r="E119" s="16">
        <v>4047443349453</v>
      </c>
      <c r="F119" s="2" t="s">
        <v>573</v>
      </c>
      <c r="G119" s="2" t="s">
        <v>637</v>
      </c>
      <c r="H119" s="6" t="s">
        <v>143</v>
      </c>
      <c r="I119" s="12">
        <f t="shared" si="6"/>
        <v>14.857142857142856</v>
      </c>
      <c r="J119" s="13">
        <f t="shared" si="5"/>
        <v>37.142857142857139</v>
      </c>
      <c r="K119" s="7">
        <v>39</v>
      </c>
      <c r="L119" s="11">
        <f t="shared" si="7"/>
        <v>0.60000000000000009</v>
      </c>
    </row>
    <row r="120" spans="2:12" x14ac:dyDescent="0.35">
      <c r="B120" s="2" t="s">
        <v>569</v>
      </c>
      <c r="C120" s="3">
        <v>100000332525</v>
      </c>
      <c r="D120" s="4">
        <v>188671</v>
      </c>
      <c r="E120" s="16">
        <v>4047443449276</v>
      </c>
      <c r="F120" s="2" t="s">
        <v>573</v>
      </c>
      <c r="G120" s="2" t="s">
        <v>637</v>
      </c>
      <c r="H120" s="6" t="s">
        <v>144</v>
      </c>
      <c r="I120" s="12">
        <f t="shared" si="6"/>
        <v>22.476190476190478</v>
      </c>
      <c r="J120" s="13">
        <f t="shared" si="5"/>
        <v>56.19047619047619</v>
      </c>
      <c r="K120" s="7">
        <v>59</v>
      </c>
      <c r="L120" s="11">
        <f t="shared" si="7"/>
        <v>0.59999999999999987</v>
      </c>
    </row>
    <row r="121" spans="2:12" x14ac:dyDescent="0.35">
      <c r="B121" s="2" t="s">
        <v>569</v>
      </c>
      <c r="C121" s="3">
        <v>100000332526</v>
      </c>
      <c r="D121" s="4">
        <v>188672</v>
      </c>
      <c r="E121" s="16">
        <v>4047443449283</v>
      </c>
      <c r="F121" s="2" t="s">
        <v>573</v>
      </c>
      <c r="G121" s="2" t="s">
        <v>637</v>
      </c>
      <c r="H121" s="6" t="s">
        <v>145</v>
      </c>
      <c r="I121" s="12">
        <f t="shared" si="6"/>
        <v>22.476190476190478</v>
      </c>
      <c r="J121" s="13">
        <f t="shared" si="5"/>
        <v>56.19047619047619</v>
      </c>
      <c r="K121" s="7">
        <v>59</v>
      </c>
      <c r="L121" s="11">
        <f t="shared" si="7"/>
        <v>0.59999999999999987</v>
      </c>
    </row>
    <row r="122" spans="2:12" x14ac:dyDescent="0.35">
      <c r="B122" s="2" t="s">
        <v>569</v>
      </c>
      <c r="C122" s="3">
        <v>100000329425</v>
      </c>
      <c r="D122" s="4">
        <v>183353</v>
      </c>
      <c r="E122" s="16">
        <v>4047443386564</v>
      </c>
      <c r="F122" s="2" t="s">
        <v>573</v>
      </c>
      <c r="G122" s="2" t="s">
        <v>637</v>
      </c>
      <c r="H122" s="6" t="s">
        <v>146</v>
      </c>
      <c r="I122" s="12">
        <f t="shared" si="6"/>
        <v>60.571428571428569</v>
      </c>
      <c r="J122" s="13">
        <f t="shared" si="5"/>
        <v>151.42857142857142</v>
      </c>
      <c r="K122" s="7">
        <v>159</v>
      </c>
      <c r="L122" s="11">
        <f t="shared" si="7"/>
        <v>0.6</v>
      </c>
    </row>
    <row r="123" spans="2:12" x14ac:dyDescent="0.35">
      <c r="B123" s="2" t="s">
        <v>569</v>
      </c>
      <c r="C123" s="3">
        <v>100000332836</v>
      </c>
      <c r="D123" s="4">
        <v>183355</v>
      </c>
      <c r="E123" s="16">
        <v>4047443396839</v>
      </c>
      <c r="F123" s="2" t="s">
        <v>573</v>
      </c>
      <c r="G123" s="2" t="s">
        <v>637</v>
      </c>
      <c r="H123" s="6" t="s">
        <v>147</v>
      </c>
      <c r="I123" s="12">
        <f t="shared" si="6"/>
        <v>56.761904761904759</v>
      </c>
      <c r="J123" s="13">
        <f t="shared" si="5"/>
        <v>141.9047619047619</v>
      </c>
      <c r="K123" s="7">
        <v>149</v>
      </c>
      <c r="L123" s="11">
        <f t="shared" si="7"/>
        <v>0.6</v>
      </c>
    </row>
    <row r="124" spans="2:12" x14ac:dyDescent="0.35">
      <c r="B124" s="2" t="s">
        <v>569</v>
      </c>
      <c r="C124" s="3">
        <v>100000329430</v>
      </c>
      <c r="D124" s="4">
        <v>188308</v>
      </c>
      <c r="E124" s="16">
        <v>4047443428400</v>
      </c>
      <c r="F124" s="2" t="s">
        <v>573</v>
      </c>
      <c r="G124" s="2" t="s">
        <v>637</v>
      </c>
      <c r="H124" s="6" t="s">
        <v>148</v>
      </c>
      <c r="I124" s="12">
        <f t="shared" si="6"/>
        <v>49.142857142857139</v>
      </c>
      <c r="J124" s="13">
        <f t="shared" si="5"/>
        <v>122.85714285714285</v>
      </c>
      <c r="K124" s="7">
        <v>129</v>
      </c>
      <c r="L124" s="11">
        <f t="shared" si="7"/>
        <v>0.6</v>
      </c>
    </row>
    <row r="125" spans="2:12" x14ac:dyDescent="0.35">
      <c r="B125" s="2" t="s">
        <v>569</v>
      </c>
      <c r="C125" s="3">
        <v>100000332837</v>
      </c>
      <c r="D125" s="4" t="s">
        <v>583</v>
      </c>
      <c r="E125" s="16">
        <v>4007249099266</v>
      </c>
      <c r="F125" s="2" t="s">
        <v>573</v>
      </c>
      <c r="G125" s="2" t="s">
        <v>637</v>
      </c>
      <c r="H125" s="6" t="s">
        <v>149</v>
      </c>
      <c r="I125" s="12">
        <f t="shared" si="6"/>
        <v>56.761904761904759</v>
      </c>
      <c r="J125" s="13">
        <f t="shared" si="5"/>
        <v>141.9047619047619</v>
      </c>
      <c r="K125" s="7">
        <v>149</v>
      </c>
      <c r="L125" s="11">
        <f t="shared" si="7"/>
        <v>0.6</v>
      </c>
    </row>
    <row r="126" spans="2:12" x14ac:dyDescent="0.35">
      <c r="B126" s="2" t="s">
        <v>569</v>
      </c>
      <c r="C126" s="3">
        <v>100000329426</v>
      </c>
      <c r="D126" s="4">
        <v>183358</v>
      </c>
      <c r="E126" s="16">
        <v>4047443402448</v>
      </c>
      <c r="F126" s="2" t="s">
        <v>573</v>
      </c>
      <c r="G126" s="2" t="s">
        <v>637</v>
      </c>
      <c r="H126" s="6" t="s">
        <v>150</v>
      </c>
      <c r="I126" s="12">
        <f t="shared" si="6"/>
        <v>152</v>
      </c>
      <c r="J126" s="13">
        <f t="shared" si="5"/>
        <v>380</v>
      </c>
      <c r="K126" s="7">
        <v>399</v>
      </c>
      <c r="L126" s="11">
        <f t="shared" si="7"/>
        <v>0.6</v>
      </c>
    </row>
    <row r="127" spans="2:12" x14ac:dyDescent="0.35">
      <c r="B127" s="2" t="s">
        <v>569</v>
      </c>
      <c r="C127" s="3">
        <v>100000329423</v>
      </c>
      <c r="D127" s="4">
        <v>188318</v>
      </c>
      <c r="E127" s="16">
        <v>4047443431752</v>
      </c>
      <c r="F127" s="2" t="s">
        <v>573</v>
      </c>
      <c r="G127" s="2" t="s">
        <v>637</v>
      </c>
      <c r="H127" s="6" t="s">
        <v>151</v>
      </c>
      <c r="I127" s="12">
        <f t="shared" si="6"/>
        <v>18.666666666666668</v>
      </c>
      <c r="J127" s="13">
        <f t="shared" si="5"/>
        <v>46.666666666666664</v>
      </c>
      <c r="K127" s="7">
        <v>49</v>
      </c>
      <c r="L127" s="11">
        <f t="shared" si="7"/>
        <v>0.6</v>
      </c>
    </row>
    <row r="128" spans="2:12" x14ac:dyDescent="0.35">
      <c r="B128" s="2" t="s">
        <v>569</v>
      </c>
      <c r="C128" s="3">
        <v>100000336811</v>
      </c>
      <c r="D128" s="4">
        <v>183357</v>
      </c>
      <c r="E128" s="16">
        <v>4047443397034</v>
      </c>
      <c r="F128" s="2" t="s">
        <v>573</v>
      </c>
      <c r="G128" s="2" t="s">
        <v>637</v>
      </c>
      <c r="H128" s="6" t="s">
        <v>152</v>
      </c>
      <c r="I128" s="12">
        <f t="shared" si="6"/>
        <v>30.095238095238098</v>
      </c>
      <c r="J128" s="13">
        <f t="shared" si="5"/>
        <v>75.238095238095241</v>
      </c>
      <c r="K128" s="7">
        <v>79</v>
      </c>
      <c r="L128" s="11">
        <f t="shared" si="7"/>
        <v>0.6</v>
      </c>
    </row>
    <row r="129" spans="2:12" x14ac:dyDescent="0.35">
      <c r="B129" s="2" t="s">
        <v>569</v>
      </c>
      <c r="C129" s="3">
        <v>100000329428</v>
      </c>
      <c r="D129" s="4">
        <v>188307</v>
      </c>
      <c r="E129" s="16">
        <v>4047443427434</v>
      </c>
      <c r="F129" s="2" t="s">
        <v>573</v>
      </c>
      <c r="G129" s="2" t="s">
        <v>637</v>
      </c>
      <c r="H129" s="6" t="s">
        <v>153</v>
      </c>
      <c r="I129" s="12">
        <f t="shared" si="6"/>
        <v>22.476190476190478</v>
      </c>
      <c r="J129" s="13">
        <f t="shared" si="5"/>
        <v>56.19047619047619</v>
      </c>
      <c r="K129" s="7">
        <v>59</v>
      </c>
      <c r="L129" s="11">
        <f t="shared" si="7"/>
        <v>0.59999999999999987</v>
      </c>
    </row>
    <row r="130" spans="2:12" x14ac:dyDescent="0.35">
      <c r="B130" s="2" t="s">
        <v>569</v>
      </c>
      <c r="C130" s="3">
        <v>100000336812</v>
      </c>
      <c r="D130" s="4">
        <v>73210583</v>
      </c>
      <c r="E130" s="16">
        <v>4047443447586</v>
      </c>
      <c r="F130" s="2" t="s">
        <v>573</v>
      </c>
      <c r="G130" s="2" t="s">
        <v>637</v>
      </c>
      <c r="H130" s="6" t="s">
        <v>154</v>
      </c>
      <c r="I130" s="12">
        <f t="shared" si="6"/>
        <v>37.714285714285715</v>
      </c>
      <c r="J130" s="13">
        <f t="shared" si="5"/>
        <v>94.285714285714278</v>
      </c>
      <c r="K130" s="7">
        <v>99</v>
      </c>
      <c r="L130" s="11">
        <f t="shared" si="7"/>
        <v>0.6</v>
      </c>
    </row>
    <row r="131" spans="2:12" x14ac:dyDescent="0.35">
      <c r="B131" s="2" t="s">
        <v>569</v>
      </c>
      <c r="C131" s="3">
        <v>100000336813</v>
      </c>
      <c r="D131" s="4">
        <v>73210584</v>
      </c>
      <c r="E131" s="16">
        <v>4047443446404</v>
      </c>
      <c r="F131" s="2" t="s">
        <v>573</v>
      </c>
      <c r="G131" s="2" t="s">
        <v>637</v>
      </c>
      <c r="H131" s="6" t="s">
        <v>155</v>
      </c>
      <c r="I131" s="12">
        <f t="shared" si="6"/>
        <v>26.285714285714285</v>
      </c>
      <c r="J131" s="13">
        <f t="shared" ref="J131:J194" si="8">K131/(1+5%)</f>
        <v>65.714285714285708</v>
      </c>
      <c r="K131" s="7">
        <v>69</v>
      </c>
      <c r="L131" s="11">
        <f t="shared" si="7"/>
        <v>0.6</v>
      </c>
    </row>
    <row r="132" spans="2:12" x14ac:dyDescent="0.35">
      <c r="B132" s="2" t="s">
        <v>569</v>
      </c>
      <c r="C132" s="3">
        <v>100000336814</v>
      </c>
      <c r="D132" s="4">
        <v>73210586</v>
      </c>
      <c r="E132" s="16">
        <v>4047443446336</v>
      </c>
      <c r="F132" s="2" t="s">
        <v>573</v>
      </c>
      <c r="G132" s="2" t="s">
        <v>637</v>
      </c>
      <c r="H132" s="6" t="s">
        <v>156</v>
      </c>
      <c r="I132" s="12">
        <f t="shared" si="6"/>
        <v>26.285714285714285</v>
      </c>
      <c r="J132" s="13">
        <f t="shared" si="8"/>
        <v>65.714285714285708</v>
      </c>
      <c r="K132" s="7">
        <v>69</v>
      </c>
      <c r="L132" s="11">
        <f t="shared" si="7"/>
        <v>0.6</v>
      </c>
    </row>
    <row r="133" spans="2:12" x14ac:dyDescent="0.35">
      <c r="B133" s="2" t="s">
        <v>569</v>
      </c>
      <c r="C133" s="3">
        <v>100000336815</v>
      </c>
      <c r="D133" s="4">
        <v>73210587</v>
      </c>
      <c r="E133" s="16">
        <v>4047443446015</v>
      </c>
      <c r="F133" s="2" t="s">
        <v>573</v>
      </c>
      <c r="G133" s="2" t="s">
        <v>637</v>
      </c>
      <c r="H133" s="6" t="s">
        <v>157</v>
      </c>
      <c r="I133" s="12">
        <f t="shared" si="6"/>
        <v>18.666666666666668</v>
      </c>
      <c r="J133" s="13">
        <f t="shared" si="8"/>
        <v>46.666666666666664</v>
      </c>
      <c r="K133" s="7">
        <v>49</v>
      </c>
      <c r="L133" s="11">
        <f t="shared" si="7"/>
        <v>0.6</v>
      </c>
    </row>
    <row r="134" spans="2:12" x14ac:dyDescent="0.35">
      <c r="B134" s="2" t="s">
        <v>569</v>
      </c>
      <c r="C134" s="3">
        <v>100000336816</v>
      </c>
      <c r="D134" s="4">
        <v>178600</v>
      </c>
      <c r="E134" s="16">
        <v>4047443430281</v>
      </c>
      <c r="F134" s="2" t="s">
        <v>573</v>
      </c>
      <c r="G134" s="2" t="s">
        <v>637</v>
      </c>
      <c r="H134" s="6" t="s">
        <v>158</v>
      </c>
      <c r="I134" s="12">
        <f t="shared" si="6"/>
        <v>37.714285714285715</v>
      </c>
      <c r="J134" s="13">
        <f t="shared" si="8"/>
        <v>94.285714285714278</v>
      </c>
      <c r="K134" s="7">
        <v>99</v>
      </c>
      <c r="L134" s="11">
        <f t="shared" si="7"/>
        <v>0.6</v>
      </c>
    </row>
    <row r="135" spans="2:12" x14ac:dyDescent="0.35">
      <c r="B135" s="2" t="s">
        <v>569</v>
      </c>
      <c r="C135" s="3">
        <v>100000336817</v>
      </c>
      <c r="D135" s="4">
        <v>178602</v>
      </c>
      <c r="E135" s="16">
        <v>4047443430304</v>
      </c>
      <c r="F135" s="2" t="s">
        <v>573</v>
      </c>
      <c r="G135" s="2" t="s">
        <v>637</v>
      </c>
      <c r="H135" s="6" t="s">
        <v>159</v>
      </c>
      <c r="I135" s="12">
        <f t="shared" si="6"/>
        <v>87.238095238095241</v>
      </c>
      <c r="J135" s="13">
        <f t="shared" si="8"/>
        <v>218.09523809523807</v>
      </c>
      <c r="K135" s="7">
        <v>229</v>
      </c>
      <c r="L135" s="11">
        <f t="shared" si="7"/>
        <v>0.6</v>
      </c>
    </row>
    <row r="136" spans="2:12" x14ac:dyDescent="0.35">
      <c r="B136" s="2" t="s">
        <v>569</v>
      </c>
      <c r="C136" s="3">
        <v>100000336818</v>
      </c>
      <c r="D136" s="4">
        <v>187206</v>
      </c>
      <c r="E136" s="16">
        <v>4047443419392</v>
      </c>
      <c r="F136" s="2" t="s">
        <v>573</v>
      </c>
      <c r="G136" s="2" t="s">
        <v>637</v>
      </c>
      <c r="H136" s="6" t="s">
        <v>160</v>
      </c>
      <c r="I136" s="12">
        <f t="shared" si="6"/>
        <v>56.761904761904759</v>
      </c>
      <c r="J136" s="13">
        <f t="shared" si="8"/>
        <v>141.9047619047619</v>
      </c>
      <c r="K136" s="7">
        <v>149</v>
      </c>
      <c r="L136" s="11">
        <f t="shared" si="7"/>
        <v>0.6</v>
      </c>
    </row>
    <row r="137" spans="2:12" x14ac:dyDescent="0.35">
      <c r="B137" s="2" t="s">
        <v>569</v>
      </c>
      <c r="C137" s="3">
        <v>100000336819</v>
      </c>
      <c r="D137" s="4">
        <v>14163</v>
      </c>
      <c r="E137" s="16">
        <v>4007249141637</v>
      </c>
      <c r="F137" s="2" t="s">
        <v>573</v>
      </c>
      <c r="G137" s="2" t="s">
        <v>637</v>
      </c>
      <c r="H137" s="6" t="s">
        <v>161</v>
      </c>
      <c r="I137" s="12">
        <f t="shared" si="6"/>
        <v>37.714285714285715</v>
      </c>
      <c r="J137" s="13">
        <f t="shared" si="8"/>
        <v>94.285714285714278</v>
      </c>
      <c r="K137" s="7">
        <v>99</v>
      </c>
      <c r="L137" s="11">
        <f t="shared" si="7"/>
        <v>0.6</v>
      </c>
    </row>
    <row r="138" spans="2:12" x14ac:dyDescent="0.35">
      <c r="B138" s="2" t="s">
        <v>569</v>
      </c>
      <c r="C138" s="3">
        <v>100000324870</v>
      </c>
      <c r="D138" s="4">
        <v>173863</v>
      </c>
      <c r="E138" s="16">
        <v>4047443318183</v>
      </c>
      <c r="F138" s="2" t="s">
        <v>573</v>
      </c>
      <c r="G138" s="2" t="s">
        <v>637</v>
      </c>
      <c r="H138" s="6" t="s">
        <v>162</v>
      </c>
      <c r="I138" s="12">
        <f t="shared" si="6"/>
        <v>26.285714285714285</v>
      </c>
      <c r="J138" s="13">
        <f t="shared" si="8"/>
        <v>65.714285714285708</v>
      </c>
      <c r="K138" s="7">
        <v>69</v>
      </c>
      <c r="L138" s="11">
        <f t="shared" si="7"/>
        <v>0.6</v>
      </c>
    </row>
    <row r="139" spans="2:12" x14ac:dyDescent="0.35">
      <c r="B139" s="2" t="s">
        <v>569</v>
      </c>
      <c r="C139" s="3">
        <v>100000342741</v>
      </c>
      <c r="D139" s="4">
        <v>173610</v>
      </c>
      <c r="E139" s="16">
        <v>4047443309822</v>
      </c>
      <c r="F139" s="2" t="s">
        <v>573</v>
      </c>
      <c r="G139" s="2" t="s">
        <v>637</v>
      </c>
      <c r="H139" s="6" t="s">
        <v>163</v>
      </c>
      <c r="I139" s="12">
        <f t="shared" si="6"/>
        <v>7.2380952380952381</v>
      </c>
      <c r="J139" s="13">
        <f t="shared" si="8"/>
        <v>18.095238095238095</v>
      </c>
      <c r="K139" s="7">
        <v>19</v>
      </c>
      <c r="L139" s="11">
        <f t="shared" si="7"/>
        <v>0.60000000000000009</v>
      </c>
    </row>
    <row r="140" spans="2:12" x14ac:dyDescent="0.35">
      <c r="B140" s="2" t="s">
        <v>569</v>
      </c>
      <c r="C140" s="3">
        <v>100000338691</v>
      </c>
      <c r="D140" s="4">
        <v>73210588</v>
      </c>
      <c r="E140" s="16">
        <v>4047443447500</v>
      </c>
      <c r="F140" s="2" t="s">
        <v>573</v>
      </c>
      <c r="G140" s="2" t="s">
        <v>637</v>
      </c>
      <c r="H140" s="6" t="s">
        <v>164</v>
      </c>
      <c r="I140" s="12">
        <f t="shared" si="6"/>
        <v>30.095238095238098</v>
      </c>
      <c r="J140" s="13">
        <f t="shared" si="8"/>
        <v>75.238095238095241</v>
      </c>
      <c r="K140" s="7">
        <v>79</v>
      </c>
      <c r="L140" s="11">
        <f t="shared" si="7"/>
        <v>0.6</v>
      </c>
    </row>
    <row r="141" spans="2:12" x14ac:dyDescent="0.35">
      <c r="B141" s="2" t="s">
        <v>569</v>
      </c>
      <c r="C141" s="3">
        <v>100000313655</v>
      </c>
      <c r="D141" s="4">
        <v>73173621</v>
      </c>
      <c r="E141" s="16">
        <v>4047443345387</v>
      </c>
      <c r="F141" s="2" t="s">
        <v>573</v>
      </c>
      <c r="G141" s="2" t="s">
        <v>637</v>
      </c>
      <c r="H141" s="6" t="s">
        <v>165</v>
      </c>
      <c r="I141" s="12">
        <f t="shared" si="6"/>
        <v>14.857142857142856</v>
      </c>
      <c r="J141" s="13">
        <f t="shared" si="8"/>
        <v>37.142857142857139</v>
      </c>
      <c r="K141" s="7">
        <v>39</v>
      </c>
      <c r="L141" s="11">
        <f t="shared" si="7"/>
        <v>0.60000000000000009</v>
      </c>
    </row>
    <row r="142" spans="2:12" x14ac:dyDescent="0.35">
      <c r="B142" s="2" t="s">
        <v>569</v>
      </c>
      <c r="C142" s="3">
        <v>100000342742</v>
      </c>
      <c r="D142" s="4">
        <v>178281</v>
      </c>
      <c r="E142" s="16">
        <v>4047443365309</v>
      </c>
      <c r="F142" s="2" t="s">
        <v>573</v>
      </c>
      <c r="G142" s="2" t="s">
        <v>637</v>
      </c>
      <c r="H142" s="6" t="s">
        <v>166</v>
      </c>
      <c r="I142" s="12">
        <f t="shared" si="6"/>
        <v>14.857142857142856</v>
      </c>
      <c r="J142" s="13">
        <f t="shared" si="8"/>
        <v>37.142857142857139</v>
      </c>
      <c r="K142" s="7">
        <v>39</v>
      </c>
      <c r="L142" s="11">
        <f t="shared" si="7"/>
        <v>0.60000000000000009</v>
      </c>
    </row>
    <row r="143" spans="2:12" x14ac:dyDescent="0.35">
      <c r="B143" s="2" t="s">
        <v>569</v>
      </c>
      <c r="C143" s="3">
        <v>100000342744</v>
      </c>
      <c r="D143" s="4">
        <v>188301</v>
      </c>
      <c r="E143" s="16">
        <v>4047443423481</v>
      </c>
      <c r="F143" s="2" t="s">
        <v>573</v>
      </c>
      <c r="G143" s="2" t="s">
        <v>637</v>
      </c>
      <c r="H143" s="6" t="s">
        <v>167</v>
      </c>
      <c r="I143" s="12">
        <f t="shared" si="6"/>
        <v>22.476190476190478</v>
      </c>
      <c r="J143" s="13">
        <f t="shared" si="8"/>
        <v>56.19047619047619</v>
      </c>
      <c r="K143" s="7">
        <v>59</v>
      </c>
      <c r="L143" s="11">
        <f t="shared" si="7"/>
        <v>0.59999999999999987</v>
      </c>
    </row>
    <row r="144" spans="2:12" x14ac:dyDescent="0.35">
      <c r="B144" s="2" t="s">
        <v>569</v>
      </c>
      <c r="C144" s="3">
        <v>100000268496</v>
      </c>
      <c r="D144" s="4">
        <v>135803</v>
      </c>
      <c r="E144" s="16">
        <v>4047443269980</v>
      </c>
      <c r="F144" s="2" t="s">
        <v>573</v>
      </c>
      <c r="G144" s="2" t="s">
        <v>637</v>
      </c>
      <c r="H144" s="6" t="s">
        <v>168</v>
      </c>
      <c r="I144" s="12">
        <f t="shared" si="6"/>
        <v>9.5238095238095237</v>
      </c>
      <c r="J144" s="13">
        <f t="shared" si="8"/>
        <v>23.80952380952381</v>
      </c>
      <c r="K144" s="7">
        <v>25</v>
      </c>
      <c r="L144" s="11">
        <f t="shared" si="7"/>
        <v>0.6</v>
      </c>
    </row>
    <row r="145" spans="2:12" x14ac:dyDescent="0.35">
      <c r="B145" s="2" t="s">
        <v>569</v>
      </c>
      <c r="C145" s="3">
        <v>100000313610</v>
      </c>
      <c r="D145" s="4">
        <v>178327</v>
      </c>
      <c r="E145" s="16">
        <v>4047443365989</v>
      </c>
      <c r="F145" s="2" t="s">
        <v>573</v>
      </c>
      <c r="G145" s="2" t="s">
        <v>637</v>
      </c>
      <c r="H145" s="6" t="s">
        <v>169</v>
      </c>
      <c r="I145" s="12">
        <f t="shared" si="6"/>
        <v>18.666666666666668</v>
      </c>
      <c r="J145" s="13">
        <f t="shared" si="8"/>
        <v>46.666666666666664</v>
      </c>
      <c r="K145" s="7">
        <v>49</v>
      </c>
      <c r="L145" s="11">
        <f t="shared" si="7"/>
        <v>0.6</v>
      </c>
    </row>
    <row r="146" spans="2:12" x14ac:dyDescent="0.35">
      <c r="B146" s="2" t="s">
        <v>569</v>
      </c>
      <c r="C146" s="3">
        <v>100000342745</v>
      </c>
      <c r="D146" s="4">
        <v>187264</v>
      </c>
      <c r="E146" s="16">
        <v>4047443459473</v>
      </c>
      <c r="F146" s="2" t="s">
        <v>573</v>
      </c>
      <c r="G146" s="2" t="s">
        <v>637</v>
      </c>
      <c r="H146" s="6" t="s">
        <v>170</v>
      </c>
      <c r="I146" s="12">
        <f t="shared" si="6"/>
        <v>68.19047619047619</v>
      </c>
      <c r="J146" s="13">
        <f t="shared" si="8"/>
        <v>170.47619047619048</v>
      </c>
      <c r="K146" s="7">
        <v>179</v>
      </c>
      <c r="L146" s="11">
        <f t="shared" si="7"/>
        <v>0.6</v>
      </c>
    </row>
    <row r="147" spans="2:12" x14ac:dyDescent="0.35">
      <c r="B147" s="2" t="s">
        <v>569</v>
      </c>
      <c r="C147" s="3">
        <v>100000342749</v>
      </c>
      <c r="D147" s="4">
        <v>210508</v>
      </c>
      <c r="E147" s="16">
        <v>4047443460547</v>
      </c>
      <c r="F147" s="2" t="s">
        <v>573</v>
      </c>
      <c r="G147" s="2" t="s">
        <v>637</v>
      </c>
      <c r="H147" s="6" t="s">
        <v>171</v>
      </c>
      <c r="I147" s="12">
        <f t="shared" si="6"/>
        <v>14.857142857142856</v>
      </c>
      <c r="J147" s="13">
        <f t="shared" si="8"/>
        <v>37.142857142857139</v>
      </c>
      <c r="K147" s="7">
        <v>39</v>
      </c>
      <c r="L147" s="11">
        <f t="shared" si="7"/>
        <v>0.60000000000000009</v>
      </c>
    </row>
    <row r="148" spans="2:12" x14ac:dyDescent="0.35">
      <c r="B148" s="2" t="s">
        <v>569</v>
      </c>
      <c r="C148" s="3">
        <v>100000342750</v>
      </c>
      <c r="D148" s="4">
        <v>210509</v>
      </c>
      <c r="E148" s="16">
        <v>4047443460554</v>
      </c>
      <c r="F148" s="2" t="s">
        <v>573</v>
      </c>
      <c r="G148" s="2" t="s">
        <v>637</v>
      </c>
      <c r="H148" s="6" t="s">
        <v>172</v>
      </c>
      <c r="I148" s="12">
        <f t="shared" si="6"/>
        <v>41.523809523809526</v>
      </c>
      <c r="J148" s="13">
        <f t="shared" si="8"/>
        <v>103.80952380952381</v>
      </c>
      <c r="K148" s="7">
        <v>109</v>
      </c>
      <c r="L148" s="11">
        <f t="shared" si="7"/>
        <v>0.6</v>
      </c>
    </row>
    <row r="149" spans="2:12" x14ac:dyDescent="0.35">
      <c r="B149" s="2" t="s">
        <v>569</v>
      </c>
      <c r="C149" s="3">
        <v>100000342928</v>
      </c>
      <c r="D149" s="4">
        <v>187292</v>
      </c>
      <c r="E149" s="16">
        <v>4047443458803</v>
      </c>
      <c r="F149" s="2" t="s">
        <v>573</v>
      </c>
      <c r="G149" s="2" t="s">
        <v>637</v>
      </c>
      <c r="H149" s="6" t="s">
        <v>173</v>
      </c>
      <c r="I149" s="12">
        <f t="shared" si="6"/>
        <v>49.142857142857139</v>
      </c>
      <c r="J149" s="13">
        <f t="shared" si="8"/>
        <v>122.85714285714285</v>
      </c>
      <c r="K149" s="7">
        <v>129</v>
      </c>
      <c r="L149" s="11">
        <f t="shared" si="7"/>
        <v>0.6</v>
      </c>
    </row>
    <row r="150" spans="2:12" x14ac:dyDescent="0.35">
      <c r="B150" s="2" t="s">
        <v>569</v>
      </c>
      <c r="C150" s="3">
        <v>100000342927</v>
      </c>
      <c r="D150" s="4" t="s">
        <v>584</v>
      </c>
      <c r="E150" s="16">
        <v>4007249058188</v>
      </c>
      <c r="F150" s="2" t="s">
        <v>573</v>
      </c>
      <c r="G150" s="2" t="s">
        <v>637</v>
      </c>
      <c r="H150" s="6" t="s">
        <v>174</v>
      </c>
      <c r="I150" s="12">
        <f t="shared" si="6"/>
        <v>64.38095238095238</v>
      </c>
      <c r="J150" s="13">
        <f t="shared" si="8"/>
        <v>160.95238095238093</v>
      </c>
      <c r="K150" s="7">
        <v>169</v>
      </c>
      <c r="L150" s="11">
        <f t="shared" si="7"/>
        <v>0.6</v>
      </c>
    </row>
    <row r="151" spans="2:12" x14ac:dyDescent="0.35">
      <c r="B151" s="2" t="s">
        <v>569</v>
      </c>
      <c r="C151" s="3">
        <v>100000344911</v>
      </c>
      <c r="D151" s="4">
        <v>104990</v>
      </c>
      <c r="E151" s="16">
        <v>4047443478337</v>
      </c>
      <c r="F151" s="2" t="s">
        <v>573</v>
      </c>
      <c r="G151" s="2" t="s">
        <v>637</v>
      </c>
      <c r="H151" s="6" t="s">
        <v>175</v>
      </c>
      <c r="I151" s="12">
        <f t="shared" si="6"/>
        <v>49.142857142857139</v>
      </c>
      <c r="J151" s="13">
        <f t="shared" si="8"/>
        <v>122.85714285714285</v>
      </c>
      <c r="K151" s="7">
        <v>129</v>
      </c>
      <c r="L151" s="11">
        <f t="shared" si="7"/>
        <v>0.6</v>
      </c>
    </row>
    <row r="152" spans="2:12" x14ac:dyDescent="0.35">
      <c r="B152" s="2" t="s">
        <v>569</v>
      </c>
      <c r="C152" s="3">
        <v>100000350480</v>
      </c>
      <c r="D152" s="4">
        <v>187238</v>
      </c>
      <c r="E152" s="16">
        <v>4047443448712</v>
      </c>
      <c r="F152" s="2" t="s">
        <v>573</v>
      </c>
      <c r="G152" s="2" t="s">
        <v>637</v>
      </c>
      <c r="H152" s="6" t="s">
        <v>176</v>
      </c>
      <c r="I152" s="12">
        <f t="shared" si="6"/>
        <v>56.761904761904759</v>
      </c>
      <c r="J152" s="13">
        <f t="shared" si="8"/>
        <v>141.9047619047619</v>
      </c>
      <c r="K152" s="7">
        <v>149</v>
      </c>
      <c r="L152" s="11">
        <f t="shared" si="7"/>
        <v>0.6</v>
      </c>
    </row>
    <row r="153" spans="2:12" x14ac:dyDescent="0.35">
      <c r="B153" s="2" t="s">
        <v>569</v>
      </c>
      <c r="C153" s="3">
        <v>100000350481</v>
      </c>
      <c r="D153" s="4">
        <v>187261</v>
      </c>
      <c r="E153" s="16">
        <v>4047443449511</v>
      </c>
      <c r="F153" s="2" t="s">
        <v>573</v>
      </c>
      <c r="G153" s="2" t="s">
        <v>637</v>
      </c>
      <c r="H153" s="6" t="s">
        <v>177</v>
      </c>
      <c r="I153" s="12">
        <f t="shared" si="6"/>
        <v>49.142857142857139</v>
      </c>
      <c r="J153" s="13">
        <f t="shared" si="8"/>
        <v>122.85714285714285</v>
      </c>
      <c r="K153" s="7">
        <v>129</v>
      </c>
      <c r="L153" s="11">
        <f t="shared" si="7"/>
        <v>0.6</v>
      </c>
    </row>
    <row r="154" spans="2:12" x14ac:dyDescent="0.35">
      <c r="B154" s="2" t="s">
        <v>569</v>
      </c>
      <c r="C154" s="3">
        <v>100000350483</v>
      </c>
      <c r="D154" s="4">
        <v>187289</v>
      </c>
      <c r="E154" s="16">
        <v>4047443459480</v>
      </c>
      <c r="F154" s="2" t="s">
        <v>573</v>
      </c>
      <c r="G154" s="2" t="s">
        <v>637</v>
      </c>
      <c r="H154" s="6" t="s">
        <v>178</v>
      </c>
      <c r="I154" s="12">
        <f t="shared" si="6"/>
        <v>68.19047619047619</v>
      </c>
      <c r="J154" s="13">
        <f t="shared" si="8"/>
        <v>170.47619047619048</v>
      </c>
      <c r="K154" s="7">
        <v>179</v>
      </c>
      <c r="L154" s="11">
        <f t="shared" si="7"/>
        <v>0.6</v>
      </c>
    </row>
    <row r="155" spans="2:12" x14ac:dyDescent="0.35">
      <c r="B155" s="2" t="s">
        <v>569</v>
      </c>
      <c r="C155" s="3">
        <v>100000350482</v>
      </c>
      <c r="D155" s="4">
        <v>187288</v>
      </c>
      <c r="E155" s="16">
        <v>4047443471772</v>
      </c>
      <c r="F155" s="2" t="s">
        <v>573</v>
      </c>
      <c r="G155" s="2" t="s">
        <v>637</v>
      </c>
      <c r="H155" s="6" t="s">
        <v>179</v>
      </c>
      <c r="I155" s="12">
        <f t="shared" si="6"/>
        <v>37.714285714285715</v>
      </c>
      <c r="J155" s="13">
        <f t="shared" si="8"/>
        <v>94.285714285714278</v>
      </c>
      <c r="K155" s="7">
        <v>99</v>
      </c>
      <c r="L155" s="11">
        <f t="shared" si="7"/>
        <v>0.6</v>
      </c>
    </row>
    <row r="156" spans="2:12" x14ac:dyDescent="0.35">
      <c r="B156" s="2" t="s">
        <v>569</v>
      </c>
      <c r="C156" s="3">
        <v>100000350484</v>
      </c>
      <c r="D156" s="4">
        <v>4635</v>
      </c>
      <c r="E156" s="16">
        <v>4007249046352</v>
      </c>
      <c r="F156" s="2" t="s">
        <v>573</v>
      </c>
      <c r="G156" s="2" t="s">
        <v>637</v>
      </c>
      <c r="H156" s="6" t="s">
        <v>180</v>
      </c>
      <c r="I156" s="12">
        <f t="shared" si="6"/>
        <v>68.19047619047619</v>
      </c>
      <c r="J156" s="13">
        <f t="shared" si="8"/>
        <v>170.47619047619048</v>
      </c>
      <c r="K156" s="7">
        <v>179</v>
      </c>
      <c r="L156" s="11">
        <f t="shared" si="7"/>
        <v>0.6</v>
      </c>
    </row>
    <row r="157" spans="2:12" x14ac:dyDescent="0.35">
      <c r="B157" s="2" t="s">
        <v>569</v>
      </c>
      <c r="C157" s="3">
        <v>100000326683</v>
      </c>
      <c r="D157" s="4">
        <v>4642</v>
      </c>
      <c r="E157" s="16">
        <v>4007249046420</v>
      </c>
      <c r="F157" s="2" t="s">
        <v>573</v>
      </c>
      <c r="G157" s="2" t="s">
        <v>637</v>
      </c>
      <c r="H157" s="6" t="s">
        <v>181</v>
      </c>
      <c r="I157" s="12">
        <f t="shared" si="6"/>
        <v>37.714285714285715</v>
      </c>
      <c r="J157" s="13">
        <f t="shared" si="8"/>
        <v>94.285714285714278</v>
      </c>
      <c r="K157" s="7">
        <v>99</v>
      </c>
      <c r="L157" s="11">
        <f t="shared" si="7"/>
        <v>0.6</v>
      </c>
    </row>
    <row r="158" spans="2:12" x14ac:dyDescent="0.35">
      <c r="B158" s="2" t="s">
        <v>569</v>
      </c>
      <c r="C158" s="3">
        <v>100000344910</v>
      </c>
      <c r="D158" s="4">
        <v>200012</v>
      </c>
      <c r="E158" s="16">
        <v>4047443426680</v>
      </c>
      <c r="F158" s="2" t="s">
        <v>573</v>
      </c>
      <c r="G158" s="2" t="s">
        <v>637</v>
      </c>
      <c r="H158" s="6" t="s">
        <v>182</v>
      </c>
      <c r="I158" s="12">
        <f t="shared" si="6"/>
        <v>155.80952380952382</v>
      </c>
      <c r="J158" s="13">
        <f t="shared" si="8"/>
        <v>389.52380952380952</v>
      </c>
      <c r="K158" s="7">
        <v>409</v>
      </c>
      <c r="L158" s="11">
        <f t="shared" si="7"/>
        <v>0.6</v>
      </c>
    </row>
    <row r="159" spans="2:12" x14ac:dyDescent="0.35">
      <c r="B159" s="2" t="s">
        <v>569</v>
      </c>
      <c r="C159" s="3">
        <v>100000350485</v>
      </c>
      <c r="D159" s="4">
        <v>210564</v>
      </c>
      <c r="E159" s="16">
        <v>4047443459688</v>
      </c>
      <c r="F159" s="2" t="s">
        <v>573</v>
      </c>
      <c r="G159" s="2" t="s">
        <v>637</v>
      </c>
      <c r="H159" s="6" t="s">
        <v>183</v>
      </c>
      <c r="I159" s="12">
        <f t="shared" si="6"/>
        <v>60.571428571428569</v>
      </c>
      <c r="J159" s="13">
        <f t="shared" si="8"/>
        <v>151.42857142857142</v>
      </c>
      <c r="K159" s="7">
        <v>159</v>
      </c>
      <c r="L159" s="11">
        <f t="shared" si="7"/>
        <v>0.6</v>
      </c>
    </row>
    <row r="160" spans="2:12" x14ac:dyDescent="0.35">
      <c r="B160" s="2" t="s">
        <v>569</v>
      </c>
      <c r="C160" s="3">
        <v>100000350487</v>
      </c>
      <c r="D160" s="4">
        <v>184078</v>
      </c>
      <c r="E160" s="16">
        <v>4047443459220</v>
      </c>
      <c r="F160" s="2" t="s">
        <v>573</v>
      </c>
      <c r="G160" s="2" t="s">
        <v>637</v>
      </c>
      <c r="H160" s="6" t="s">
        <v>184</v>
      </c>
      <c r="I160" s="12">
        <f t="shared" si="6"/>
        <v>94.857142857142861</v>
      </c>
      <c r="J160" s="13">
        <f t="shared" si="8"/>
        <v>237.14285714285714</v>
      </c>
      <c r="K160" s="7">
        <v>249</v>
      </c>
      <c r="L160" s="11">
        <f t="shared" si="7"/>
        <v>0.6</v>
      </c>
    </row>
    <row r="161" spans="2:12" x14ac:dyDescent="0.35">
      <c r="B161" s="2" t="s">
        <v>569</v>
      </c>
      <c r="C161" s="3">
        <v>100000350488</v>
      </c>
      <c r="D161" s="4">
        <v>184079</v>
      </c>
      <c r="E161" s="16">
        <v>4047443459237</v>
      </c>
      <c r="F161" s="2" t="s">
        <v>573</v>
      </c>
      <c r="G161" s="2" t="s">
        <v>637</v>
      </c>
      <c r="H161" s="6" t="s">
        <v>185</v>
      </c>
      <c r="I161" s="12">
        <f t="shared" si="6"/>
        <v>94.857142857142861</v>
      </c>
      <c r="J161" s="13">
        <f t="shared" si="8"/>
        <v>237.14285714285714</v>
      </c>
      <c r="K161" s="7">
        <v>249</v>
      </c>
      <c r="L161" s="11">
        <f t="shared" si="7"/>
        <v>0.6</v>
      </c>
    </row>
    <row r="162" spans="2:12" x14ac:dyDescent="0.35">
      <c r="B162" s="2" t="s">
        <v>569</v>
      </c>
      <c r="C162" s="3">
        <v>100000350510</v>
      </c>
      <c r="D162" s="4">
        <v>215512</v>
      </c>
      <c r="E162" s="16">
        <v>4047443494634</v>
      </c>
      <c r="F162" s="2" t="s">
        <v>573</v>
      </c>
      <c r="G162" s="2" t="s">
        <v>637</v>
      </c>
      <c r="H162" s="6" t="s">
        <v>186</v>
      </c>
      <c r="I162" s="12">
        <f t="shared" si="6"/>
        <v>37.714285714285715</v>
      </c>
      <c r="J162" s="13">
        <f t="shared" si="8"/>
        <v>94.285714285714278</v>
      </c>
      <c r="K162" s="7">
        <v>99</v>
      </c>
      <c r="L162" s="11">
        <f t="shared" si="7"/>
        <v>0.6</v>
      </c>
    </row>
    <row r="163" spans="2:12" x14ac:dyDescent="0.35">
      <c r="B163" s="2" t="s">
        <v>569</v>
      </c>
      <c r="C163" s="3">
        <v>100000350512</v>
      </c>
      <c r="D163" s="4">
        <v>215513</v>
      </c>
      <c r="E163" s="16">
        <v>4047443494641</v>
      </c>
      <c r="F163" s="2" t="s">
        <v>573</v>
      </c>
      <c r="G163" s="2" t="s">
        <v>637</v>
      </c>
      <c r="H163" s="6" t="s">
        <v>187</v>
      </c>
      <c r="I163" s="12">
        <f t="shared" si="6"/>
        <v>37.714285714285715</v>
      </c>
      <c r="J163" s="13">
        <f t="shared" si="8"/>
        <v>94.285714285714278</v>
      </c>
      <c r="K163" s="7">
        <v>99</v>
      </c>
      <c r="L163" s="11">
        <f t="shared" si="7"/>
        <v>0.6</v>
      </c>
    </row>
    <row r="164" spans="2:12" x14ac:dyDescent="0.35">
      <c r="B164" s="2" t="s">
        <v>569</v>
      </c>
      <c r="C164" s="3">
        <v>100000350513</v>
      </c>
      <c r="D164" s="4">
        <v>215530</v>
      </c>
      <c r="E164" s="16">
        <v>4047443494733</v>
      </c>
      <c r="F164" s="2" t="s">
        <v>573</v>
      </c>
      <c r="G164" s="2" t="s">
        <v>637</v>
      </c>
      <c r="H164" s="6" t="s">
        <v>188</v>
      </c>
      <c r="I164" s="12">
        <f t="shared" si="6"/>
        <v>41.523809523809526</v>
      </c>
      <c r="J164" s="13">
        <f t="shared" si="8"/>
        <v>103.80952380952381</v>
      </c>
      <c r="K164" s="7">
        <v>109</v>
      </c>
      <c r="L164" s="11">
        <f t="shared" si="7"/>
        <v>0.6</v>
      </c>
    </row>
    <row r="165" spans="2:12" x14ac:dyDescent="0.35">
      <c r="B165" s="2" t="s">
        <v>569</v>
      </c>
      <c r="C165" s="3">
        <v>100000350514</v>
      </c>
      <c r="D165" s="4">
        <v>215546</v>
      </c>
      <c r="E165" s="16">
        <v>4047443494795</v>
      </c>
      <c r="F165" s="2" t="s">
        <v>573</v>
      </c>
      <c r="G165" s="2" t="s">
        <v>637</v>
      </c>
      <c r="H165" s="6" t="s">
        <v>189</v>
      </c>
      <c r="I165" s="12">
        <f t="shared" si="6"/>
        <v>37.714285714285715</v>
      </c>
      <c r="J165" s="13">
        <f t="shared" si="8"/>
        <v>94.285714285714278</v>
      </c>
      <c r="K165" s="7">
        <v>99</v>
      </c>
      <c r="L165" s="11">
        <f t="shared" si="7"/>
        <v>0.6</v>
      </c>
    </row>
    <row r="166" spans="2:12" x14ac:dyDescent="0.35">
      <c r="B166" s="2" t="s">
        <v>569</v>
      </c>
      <c r="C166" s="3">
        <v>100000350515</v>
      </c>
      <c r="D166" s="4">
        <v>215547</v>
      </c>
      <c r="E166" s="16">
        <v>4047443494801</v>
      </c>
      <c r="F166" s="2" t="s">
        <v>573</v>
      </c>
      <c r="G166" s="2" t="s">
        <v>637</v>
      </c>
      <c r="H166" s="6" t="s">
        <v>190</v>
      </c>
      <c r="I166" s="12">
        <f t="shared" si="6"/>
        <v>37.714285714285715</v>
      </c>
      <c r="J166" s="13">
        <f t="shared" si="8"/>
        <v>94.285714285714278</v>
      </c>
      <c r="K166" s="7">
        <v>99</v>
      </c>
      <c r="L166" s="11">
        <f t="shared" si="7"/>
        <v>0.6</v>
      </c>
    </row>
    <row r="167" spans="2:12" x14ac:dyDescent="0.35">
      <c r="B167" s="2" t="s">
        <v>569</v>
      </c>
      <c r="C167" s="3">
        <v>100000350516</v>
      </c>
      <c r="D167" s="4">
        <v>215529</v>
      </c>
      <c r="E167" s="16">
        <v>4047443494726</v>
      </c>
      <c r="F167" s="2" t="s">
        <v>573</v>
      </c>
      <c r="G167" s="2" t="s">
        <v>637</v>
      </c>
      <c r="H167" s="6" t="s">
        <v>191</v>
      </c>
      <c r="I167" s="12">
        <f t="shared" si="6"/>
        <v>41.523809523809526</v>
      </c>
      <c r="J167" s="13">
        <f t="shared" si="8"/>
        <v>103.80952380952381</v>
      </c>
      <c r="K167" s="7">
        <v>109</v>
      </c>
      <c r="L167" s="11">
        <f t="shared" si="7"/>
        <v>0.6</v>
      </c>
    </row>
    <row r="168" spans="2:12" x14ac:dyDescent="0.35">
      <c r="B168" s="2" t="s">
        <v>569</v>
      </c>
      <c r="C168" s="3">
        <v>100000350517</v>
      </c>
      <c r="D168" s="4">
        <v>215559</v>
      </c>
      <c r="E168" s="16">
        <v>4047443494863</v>
      </c>
      <c r="F168" s="2" t="s">
        <v>573</v>
      </c>
      <c r="G168" s="2" t="s">
        <v>637</v>
      </c>
      <c r="H168" s="6" t="s">
        <v>192</v>
      </c>
      <c r="I168" s="12">
        <f t="shared" si="6"/>
        <v>37.714285714285715</v>
      </c>
      <c r="J168" s="13">
        <f t="shared" si="8"/>
        <v>94.285714285714278</v>
      </c>
      <c r="K168" s="7">
        <v>99</v>
      </c>
      <c r="L168" s="11">
        <f t="shared" si="7"/>
        <v>0.6</v>
      </c>
    </row>
    <row r="169" spans="2:12" x14ac:dyDescent="0.35">
      <c r="B169" s="2" t="s">
        <v>569</v>
      </c>
      <c r="C169" s="3">
        <v>100000350518</v>
      </c>
      <c r="D169" s="4">
        <v>215560</v>
      </c>
      <c r="E169" s="16">
        <v>4047443494870</v>
      </c>
      <c r="F169" s="2" t="s">
        <v>573</v>
      </c>
      <c r="G169" s="2" t="s">
        <v>637</v>
      </c>
      <c r="H169" s="6" t="s">
        <v>193</v>
      </c>
      <c r="I169" s="12">
        <f t="shared" si="6"/>
        <v>37.714285714285715</v>
      </c>
      <c r="J169" s="13">
        <f t="shared" si="8"/>
        <v>94.285714285714278</v>
      </c>
      <c r="K169" s="7">
        <v>99</v>
      </c>
      <c r="L169" s="11">
        <f t="shared" si="7"/>
        <v>0.6</v>
      </c>
    </row>
    <row r="170" spans="2:12" x14ac:dyDescent="0.35">
      <c r="B170" s="2" t="s">
        <v>569</v>
      </c>
      <c r="C170" s="3">
        <v>100000350519</v>
      </c>
      <c r="D170" s="4">
        <v>215516</v>
      </c>
      <c r="E170" s="16">
        <v>4047443494689</v>
      </c>
      <c r="F170" s="2" t="s">
        <v>573</v>
      </c>
      <c r="G170" s="2" t="s">
        <v>637</v>
      </c>
      <c r="H170" s="6" t="s">
        <v>194</v>
      </c>
      <c r="I170" s="12">
        <f t="shared" si="6"/>
        <v>41.523809523809526</v>
      </c>
      <c r="J170" s="13">
        <f t="shared" si="8"/>
        <v>103.80952380952381</v>
      </c>
      <c r="K170" s="7">
        <v>109</v>
      </c>
      <c r="L170" s="11">
        <f t="shared" si="7"/>
        <v>0.6</v>
      </c>
    </row>
    <row r="171" spans="2:12" x14ac:dyDescent="0.35">
      <c r="B171" s="2" t="s">
        <v>569</v>
      </c>
      <c r="C171" s="3">
        <v>100000350520</v>
      </c>
      <c r="D171" s="4">
        <v>215533</v>
      </c>
      <c r="E171" s="16">
        <v>4047443494771</v>
      </c>
      <c r="F171" s="2" t="s">
        <v>573</v>
      </c>
      <c r="G171" s="2" t="s">
        <v>637</v>
      </c>
      <c r="H171" s="6" t="s">
        <v>195</v>
      </c>
      <c r="I171" s="12">
        <f t="shared" ref="I171:I233" si="9">0.4*J171</f>
        <v>37.714285714285715</v>
      </c>
      <c r="J171" s="13">
        <f t="shared" si="8"/>
        <v>94.285714285714278</v>
      </c>
      <c r="K171" s="7">
        <v>99</v>
      </c>
      <c r="L171" s="11">
        <f t="shared" ref="L171:L233" si="10">(J171-I171)/J171</f>
        <v>0.6</v>
      </c>
    </row>
    <row r="172" spans="2:12" x14ac:dyDescent="0.35">
      <c r="B172" s="2" t="s">
        <v>569</v>
      </c>
      <c r="C172" s="3">
        <v>100000350521</v>
      </c>
      <c r="D172" s="4">
        <v>215550</v>
      </c>
      <c r="E172" s="16">
        <v>4047443494849</v>
      </c>
      <c r="F172" s="2" t="s">
        <v>573</v>
      </c>
      <c r="G172" s="2" t="s">
        <v>637</v>
      </c>
      <c r="H172" s="6" t="s">
        <v>196</v>
      </c>
      <c r="I172" s="12">
        <f t="shared" si="9"/>
        <v>37.714285714285715</v>
      </c>
      <c r="J172" s="13">
        <f t="shared" si="8"/>
        <v>94.285714285714278</v>
      </c>
      <c r="K172" s="7">
        <v>99</v>
      </c>
      <c r="L172" s="11">
        <f t="shared" si="10"/>
        <v>0.6</v>
      </c>
    </row>
    <row r="173" spans="2:12" x14ac:dyDescent="0.35">
      <c r="B173" s="2" t="s">
        <v>569</v>
      </c>
      <c r="C173" s="3">
        <v>100000350522</v>
      </c>
      <c r="D173" s="4">
        <v>215561</v>
      </c>
      <c r="E173" s="16">
        <v>4047443494887</v>
      </c>
      <c r="F173" s="2" t="s">
        <v>573</v>
      </c>
      <c r="G173" s="2" t="s">
        <v>637</v>
      </c>
      <c r="H173" s="6" t="s">
        <v>197</v>
      </c>
      <c r="I173" s="12">
        <f t="shared" si="9"/>
        <v>41.523809523809526</v>
      </c>
      <c r="J173" s="13">
        <f t="shared" si="8"/>
        <v>103.80952380952381</v>
      </c>
      <c r="K173" s="7">
        <v>109</v>
      </c>
      <c r="L173" s="11">
        <f t="shared" si="10"/>
        <v>0.6</v>
      </c>
    </row>
    <row r="174" spans="2:12" x14ac:dyDescent="0.35">
      <c r="B174" s="2" t="s">
        <v>569</v>
      </c>
      <c r="C174" s="3">
        <v>100000359267</v>
      </c>
      <c r="D174" s="4">
        <v>183279</v>
      </c>
      <c r="E174" s="16">
        <v>4047443401861</v>
      </c>
      <c r="F174" s="2" t="s">
        <v>573</v>
      </c>
      <c r="G174" s="2" t="s">
        <v>637</v>
      </c>
      <c r="H174" s="6" t="s">
        <v>198</v>
      </c>
      <c r="I174" s="12">
        <f t="shared" si="9"/>
        <v>18.666666666666668</v>
      </c>
      <c r="J174" s="13">
        <f t="shared" si="8"/>
        <v>46.666666666666664</v>
      </c>
      <c r="K174" s="7">
        <v>49</v>
      </c>
      <c r="L174" s="11">
        <f t="shared" si="10"/>
        <v>0.6</v>
      </c>
    </row>
    <row r="175" spans="2:12" x14ac:dyDescent="0.35">
      <c r="B175" s="2" t="s">
        <v>569</v>
      </c>
      <c r="C175" s="3">
        <v>100000359268</v>
      </c>
      <c r="D175" s="4">
        <v>73210293</v>
      </c>
      <c r="E175" s="16">
        <v>4047443498939</v>
      </c>
      <c r="F175" s="2" t="s">
        <v>573</v>
      </c>
      <c r="G175" s="2" t="s">
        <v>637</v>
      </c>
      <c r="H175" s="6" t="s">
        <v>199</v>
      </c>
      <c r="I175" s="12">
        <f t="shared" si="9"/>
        <v>83.428571428571431</v>
      </c>
      <c r="J175" s="13">
        <f t="shared" si="8"/>
        <v>208.57142857142856</v>
      </c>
      <c r="K175" s="7">
        <v>219</v>
      </c>
      <c r="L175" s="11">
        <f t="shared" si="10"/>
        <v>0.6</v>
      </c>
    </row>
    <row r="176" spans="2:12" x14ac:dyDescent="0.35">
      <c r="B176" s="2" t="s">
        <v>569</v>
      </c>
      <c r="C176" s="3">
        <v>100000359269</v>
      </c>
      <c r="D176" s="4">
        <v>73210296</v>
      </c>
      <c r="E176" s="16">
        <v>4047443499530</v>
      </c>
      <c r="F176" s="2" t="s">
        <v>573</v>
      </c>
      <c r="G176" s="2" t="s">
        <v>637</v>
      </c>
      <c r="H176" s="6" t="s">
        <v>200</v>
      </c>
      <c r="I176" s="12">
        <f t="shared" si="9"/>
        <v>45.333333333333336</v>
      </c>
      <c r="J176" s="13">
        <f t="shared" si="8"/>
        <v>113.33333333333333</v>
      </c>
      <c r="K176" s="7">
        <v>119</v>
      </c>
      <c r="L176" s="11">
        <f t="shared" si="10"/>
        <v>0.6</v>
      </c>
    </row>
    <row r="177" spans="2:12" x14ac:dyDescent="0.35">
      <c r="B177" s="2" t="s">
        <v>569</v>
      </c>
      <c r="C177" s="3">
        <v>100000359270</v>
      </c>
      <c r="D177" s="4">
        <v>73210294</v>
      </c>
      <c r="E177" s="16">
        <v>4047443499301</v>
      </c>
      <c r="F177" s="2" t="s">
        <v>573</v>
      </c>
      <c r="G177" s="2" t="s">
        <v>637</v>
      </c>
      <c r="H177" s="6" t="s">
        <v>201</v>
      </c>
      <c r="I177" s="12">
        <f t="shared" si="9"/>
        <v>52.952380952380956</v>
      </c>
      <c r="J177" s="13">
        <f t="shared" si="8"/>
        <v>132.38095238095238</v>
      </c>
      <c r="K177" s="7">
        <v>139</v>
      </c>
      <c r="L177" s="11">
        <f t="shared" si="10"/>
        <v>0.59999999999999987</v>
      </c>
    </row>
    <row r="178" spans="2:12" x14ac:dyDescent="0.35">
      <c r="B178" s="2" t="s">
        <v>569</v>
      </c>
      <c r="C178" s="3">
        <v>100000359271</v>
      </c>
      <c r="D178" s="4">
        <v>201674</v>
      </c>
      <c r="E178" s="16">
        <v>4047443487308</v>
      </c>
      <c r="F178" s="2" t="s">
        <v>573</v>
      </c>
      <c r="G178" s="2" t="s">
        <v>637</v>
      </c>
      <c r="H178" s="6" t="s">
        <v>202</v>
      </c>
      <c r="I178" s="12">
        <f t="shared" si="9"/>
        <v>33.904761904761905</v>
      </c>
      <c r="J178" s="13">
        <f t="shared" si="8"/>
        <v>84.761904761904759</v>
      </c>
      <c r="K178" s="7">
        <v>89</v>
      </c>
      <c r="L178" s="11">
        <f t="shared" si="10"/>
        <v>0.6</v>
      </c>
    </row>
    <row r="179" spans="2:12" x14ac:dyDescent="0.35">
      <c r="B179" s="2" t="s">
        <v>569</v>
      </c>
      <c r="C179" s="3">
        <v>100000362277</v>
      </c>
      <c r="D179" s="4" t="s">
        <v>585</v>
      </c>
      <c r="E179" s="16">
        <v>4007249291240</v>
      </c>
      <c r="F179" s="2" t="s">
        <v>573</v>
      </c>
      <c r="G179" s="2" t="s">
        <v>637</v>
      </c>
      <c r="H179" s="6" t="s">
        <v>203</v>
      </c>
      <c r="I179" s="12">
        <f t="shared" si="9"/>
        <v>75.80952380952381</v>
      </c>
      <c r="J179" s="13">
        <f t="shared" si="8"/>
        <v>189.52380952380952</v>
      </c>
      <c r="K179" s="7">
        <v>199</v>
      </c>
      <c r="L179" s="11">
        <f t="shared" si="10"/>
        <v>0.6</v>
      </c>
    </row>
    <row r="180" spans="2:12" x14ac:dyDescent="0.35">
      <c r="B180" s="2" t="s">
        <v>569</v>
      </c>
      <c r="C180" s="3">
        <v>100000362278</v>
      </c>
      <c r="D180" s="4" t="s">
        <v>586</v>
      </c>
      <c r="E180" s="16">
        <v>4007249291653</v>
      </c>
      <c r="F180" s="2" t="s">
        <v>573</v>
      </c>
      <c r="G180" s="2" t="s">
        <v>637</v>
      </c>
      <c r="H180" s="6" t="s">
        <v>204</v>
      </c>
      <c r="I180" s="12">
        <f t="shared" si="9"/>
        <v>56.761904761904759</v>
      </c>
      <c r="J180" s="13">
        <f t="shared" si="8"/>
        <v>141.9047619047619</v>
      </c>
      <c r="K180" s="7">
        <v>149</v>
      </c>
      <c r="L180" s="11">
        <f t="shared" si="10"/>
        <v>0.6</v>
      </c>
    </row>
    <row r="181" spans="2:12" x14ac:dyDescent="0.35">
      <c r="B181" s="2" t="s">
        <v>569</v>
      </c>
      <c r="C181" s="3">
        <v>100000353451</v>
      </c>
      <c r="D181" s="4" t="s">
        <v>587</v>
      </c>
      <c r="E181" s="16">
        <v>4007249058324</v>
      </c>
      <c r="F181" s="2" t="s">
        <v>574</v>
      </c>
      <c r="G181" s="2" t="s">
        <v>637</v>
      </c>
      <c r="H181" s="6" t="s">
        <v>205</v>
      </c>
      <c r="I181" s="12">
        <f t="shared" si="9"/>
        <v>37.714285714285715</v>
      </c>
      <c r="J181" s="13">
        <f t="shared" si="8"/>
        <v>94.285714285714278</v>
      </c>
      <c r="K181" s="7">
        <v>99</v>
      </c>
      <c r="L181" s="11">
        <f t="shared" si="10"/>
        <v>0.6</v>
      </c>
    </row>
    <row r="182" spans="2:12" x14ac:dyDescent="0.35">
      <c r="B182" s="2" t="s">
        <v>569</v>
      </c>
      <c r="C182" s="3">
        <v>100000355917</v>
      </c>
      <c r="D182" s="4" t="s">
        <v>588</v>
      </c>
      <c r="E182" s="16">
        <v>4007249059673</v>
      </c>
      <c r="F182" s="2" t="s">
        <v>574</v>
      </c>
      <c r="G182" s="2" t="s">
        <v>637</v>
      </c>
      <c r="H182" s="6" t="s">
        <v>206</v>
      </c>
      <c r="I182" s="12">
        <f t="shared" si="9"/>
        <v>30.095238095238098</v>
      </c>
      <c r="J182" s="13">
        <f t="shared" si="8"/>
        <v>75.238095238095241</v>
      </c>
      <c r="K182" s="7">
        <v>79</v>
      </c>
      <c r="L182" s="11">
        <f t="shared" si="10"/>
        <v>0.6</v>
      </c>
    </row>
    <row r="183" spans="2:12" x14ac:dyDescent="0.35">
      <c r="B183" s="2" t="s">
        <v>569</v>
      </c>
      <c r="C183" s="3">
        <v>100000331204</v>
      </c>
      <c r="D183" s="4">
        <v>135761</v>
      </c>
      <c r="E183" s="16">
        <v>4047443416421</v>
      </c>
      <c r="F183" s="2" t="s">
        <v>575</v>
      </c>
      <c r="G183" s="2" t="s">
        <v>637</v>
      </c>
      <c r="H183" s="6" t="s">
        <v>208</v>
      </c>
      <c r="I183" s="12">
        <f t="shared" si="9"/>
        <v>228.1904761904762</v>
      </c>
      <c r="J183" s="13">
        <f t="shared" si="8"/>
        <v>570.47619047619048</v>
      </c>
      <c r="K183" s="7">
        <v>599</v>
      </c>
      <c r="L183" s="11">
        <f t="shared" si="10"/>
        <v>0.6</v>
      </c>
    </row>
    <row r="184" spans="2:12" x14ac:dyDescent="0.35">
      <c r="B184" s="2" t="s">
        <v>569</v>
      </c>
      <c r="C184" s="3">
        <v>100000331205</v>
      </c>
      <c r="D184" s="4">
        <v>135764</v>
      </c>
      <c r="E184" s="16">
        <v>4047443416605</v>
      </c>
      <c r="F184" s="2" t="s">
        <v>575</v>
      </c>
      <c r="G184" s="2" t="s">
        <v>637</v>
      </c>
      <c r="H184" s="6" t="s">
        <v>209</v>
      </c>
      <c r="I184" s="12">
        <f t="shared" si="9"/>
        <v>125.33333333333333</v>
      </c>
      <c r="J184" s="13">
        <f t="shared" si="8"/>
        <v>313.33333333333331</v>
      </c>
      <c r="K184" s="7">
        <v>329</v>
      </c>
      <c r="L184" s="11">
        <f t="shared" si="10"/>
        <v>0.60000000000000009</v>
      </c>
    </row>
    <row r="185" spans="2:12" x14ac:dyDescent="0.35">
      <c r="B185" s="2" t="s">
        <v>569</v>
      </c>
      <c r="C185" s="3">
        <v>100000331206</v>
      </c>
      <c r="D185" s="4">
        <v>135765</v>
      </c>
      <c r="E185" s="16">
        <v>4047443418319</v>
      </c>
      <c r="F185" s="2" t="s">
        <v>575</v>
      </c>
      <c r="G185" s="2" t="s">
        <v>637</v>
      </c>
      <c r="H185" s="6" t="s">
        <v>210</v>
      </c>
      <c r="I185" s="12">
        <f t="shared" si="9"/>
        <v>190.0952380952381</v>
      </c>
      <c r="J185" s="13">
        <f t="shared" si="8"/>
        <v>475.23809523809524</v>
      </c>
      <c r="K185" s="7">
        <v>499</v>
      </c>
      <c r="L185" s="11">
        <f t="shared" si="10"/>
        <v>0.6</v>
      </c>
    </row>
    <row r="186" spans="2:12" x14ac:dyDescent="0.35">
      <c r="B186" s="2" t="s">
        <v>569</v>
      </c>
      <c r="C186" s="3">
        <v>100000331208</v>
      </c>
      <c r="D186" s="4">
        <v>182600</v>
      </c>
      <c r="E186" s="16">
        <v>4047443370457</v>
      </c>
      <c r="F186" s="2" t="s">
        <v>575</v>
      </c>
      <c r="G186" s="2" t="s">
        <v>637</v>
      </c>
      <c r="H186" s="6" t="s">
        <v>211</v>
      </c>
      <c r="I186" s="12">
        <f t="shared" si="9"/>
        <v>7.6190476190476195</v>
      </c>
      <c r="J186" s="13">
        <f t="shared" si="8"/>
        <v>19.047619047619047</v>
      </c>
      <c r="K186" s="7">
        <v>20</v>
      </c>
      <c r="L186" s="11">
        <f t="shared" si="10"/>
        <v>0.6</v>
      </c>
    </row>
    <row r="187" spans="2:12" x14ac:dyDescent="0.35">
      <c r="B187" s="2" t="s">
        <v>569</v>
      </c>
      <c r="C187" s="3">
        <v>100000306775</v>
      </c>
      <c r="D187" s="4">
        <v>182618</v>
      </c>
      <c r="E187" s="16">
        <v>4047443371508</v>
      </c>
      <c r="F187" s="2" t="s">
        <v>575</v>
      </c>
      <c r="G187" s="2" t="s">
        <v>637</v>
      </c>
      <c r="H187" s="6" t="s">
        <v>212</v>
      </c>
      <c r="I187" s="12">
        <f t="shared" si="9"/>
        <v>11.047619047619047</v>
      </c>
      <c r="J187" s="13">
        <f t="shared" si="8"/>
        <v>27.619047619047617</v>
      </c>
      <c r="K187" s="7">
        <v>29</v>
      </c>
      <c r="L187" s="11">
        <f t="shared" si="10"/>
        <v>0.6</v>
      </c>
    </row>
    <row r="188" spans="2:12" x14ac:dyDescent="0.35">
      <c r="B188" s="2" t="s">
        <v>569</v>
      </c>
      <c r="C188" s="3">
        <v>100000331209</v>
      </c>
      <c r="D188" s="4">
        <v>182623</v>
      </c>
      <c r="E188" s="16">
        <v>4047443384867</v>
      </c>
      <c r="F188" s="2" t="s">
        <v>575</v>
      </c>
      <c r="G188" s="2" t="s">
        <v>637</v>
      </c>
      <c r="H188" s="6" t="s">
        <v>213</v>
      </c>
      <c r="I188" s="12">
        <f t="shared" si="9"/>
        <v>14.857142857142856</v>
      </c>
      <c r="J188" s="13">
        <f t="shared" si="8"/>
        <v>37.142857142857139</v>
      </c>
      <c r="K188" s="7">
        <v>39</v>
      </c>
      <c r="L188" s="11">
        <f t="shared" si="10"/>
        <v>0.60000000000000009</v>
      </c>
    </row>
    <row r="189" spans="2:12" x14ac:dyDescent="0.35">
      <c r="B189" s="2" t="s">
        <v>569</v>
      </c>
      <c r="C189" s="3">
        <v>100000331210</v>
      </c>
      <c r="D189" s="4">
        <v>182626</v>
      </c>
      <c r="E189" s="16">
        <v>4047443371782</v>
      </c>
      <c r="F189" s="2" t="s">
        <v>575</v>
      </c>
      <c r="G189" s="2" t="s">
        <v>637</v>
      </c>
      <c r="H189" s="6" t="s">
        <v>214</v>
      </c>
      <c r="I189" s="12">
        <f t="shared" si="9"/>
        <v>18.666666666666668</v>
      </c>
      <c r="J189" s="13">
        <f t="shared" si="8"/>
        <v>46.666666666666664</v>
      </c>
      <c r="K189" s="7">
        <v>49</v>
      </c>
      <c r="L189" s="11">
        <f t="shared" si="10"/>
        <v>0.6</v>
      </c>
    </row>
    <row r="190" spans="2:12" x14ac:dyDescent="0.35">
      <c r="B190" s="2" t="s">
        <v>569</v>
      </c>
      <c r="C190" s="3">
        <v>100000331211</v>
      </c>
      <c r="D190" s="4" t="s">
        <v>589</v>
      </c>
      <c r="E190" s="16">
        <v>4047443445797</v>
      </c>
      <c r="F190" s="2" t="s">
        <v>575</v>
      </c>
      <c r="G190" s="2" t="s">
        <v>637</v>
      </c>
      <c r="H190" s="6" t="s">
        <v>215</v>
      </c>
      <c r="I190" s="12">
        <f t="shared" si="9"/>
        <v>33.904761904761905</v>
      </c>
      <c r="J190" s="13">
        <f t="shared" si="8"/>
        <v>84.761904761904759</v>
      </c>
      <c r="K190" s="7">
        <v>89</v>
      </c>
      <c r="L190" s="11">
        <f t="shared" si="10"/>
        <v>0.6</v>
      </c>
    </row>
    <row r="191" spans="2:12" x14ac:dyDescent="0.35">
      <c r="B191" s="2" t="s">
        <v>569</v>
      </c>
      <c r="C191" s="3">
        <v>100000331212</v>
      </c>
      <c r="D191" s="4" t="s">
        <v>590</v>
      </c>
      <c r="E191" s="16">
        <v>4047443358905</v>
      </c>
      <c r="F191" s="2" t="s">
        <v>575</v>
      </c>
      <c r="G191" s="2" t="s">
        <v>637</v>
      </c>
      <c r="H191" s="6" t="s">
        <v>216</v>
      </c>
      <c r="I191" s="12">
        <f t="shared" si="9"/>
        <v>22.476190476190478</v>
      </c>
      <c r="J191" s="13">
        <f t="shared" si="8"/>
        <v>56.19047619047619</v>
      </c>
      <c r="K191" s="7">
        <v>59</v>
      </c>
      <c r="L191" s="11">
        <f t="shared" si="10"/>
        <v>0.59999999999999987</v>
      </c>
    </row>
    <row r="192" spans="2:12" x14ac:dyDescent="0.35">
      <c r="B192" s="2" t="s">
        <v>569</v>
      </c>
      <c r="C192" s="3">
        <v>100000331213</v>
      </c>
      <c r="D192" s="4">
        <v>182670</v>
      </c>
      <c r="E192" s="16">
        <v>4047443393463</v>
      </c>
      <c r="F192" s="2" t="s">
        <v>575</v>
      </c>
      <c r="G192" s="2" t="s">
        <v>637</v>
      </c>
      <c r="H192" s="6" t="s">
        <v>217</v>
      </c>
      <c r="I192" s="12">
        <f t="shared" si="9"/>
        <v>56.761904761904759</v>
      </c>
      <c r="J192" s="13">
        <f t="shared" si="8"/>
        <v>141.9047619047619</v>
      </c>
      <c r="K192" s="7">
        <v>149</v>
      </c>
      <c r="L192" s="11">
        <f t="shared" si="10"/>
        <v>0.6</v>
      </c>
    </row>
    <row r="193" spans="2:12" x14ac:dyDescent="0.35">
      <c r="B193" s="2" t="s">
        <v>569</v>
      </c>
      <c r="C193" s="3">
        <v>100000331214</v>
      </c>
      <c r="D193" s="4" t="s">
        <v>591</v>
      </c>
      <c r="E193" s="16">
        <v>4047443445841</v>
      </c>
      <c r="F193" s="2" t="s">
        <v>575</v>
      </c>
      <c r="G193" s="2" t="s">
        <v>637</v>
      </c>
      <c r="H193" s="6" t="s">
        <v>218</v>
      </c>
      <c r="I193" s="12">
        <f t="shared" si="9"/>
        <v>72</v>
      </c>
      <c r="J193" s="13">
        <f t="shared" si="8"/>
        <v>180</v>
      </c>
      <c r="K193" s="7">
        <v>189</v>
      </c>
      <c r="L193" s="11">
        <f t="shared" si="10"/>
        <v>0.6</v>
      </c>
    </row>
    <row r="194" spans="2:12" x14ac:dyDescent="0.35">
      <c r="B194" s="2" t="s">
        <v>569</v>
      </c>
      <c r="C194" s="3">
        <v>100000331215</v>
      </c>
      <c r="D194" s="4">
        <v>182699</v>
      </c>
      <c r="E194" s="16">
        <v>4047443370396</v>
      </c>
      <c r="F194" s="2" t="s">
        <v>575</v>
      </c>
      <c r="G194" s="2" t="s">
        <v>637</v>
      </c>
      <c r="H194" s="6" t="s">
        <v>219</v>
      </c>
      <c r="I194" s="12">
        <f t="shared" si="9"/>
        <v>37.714285714285715</v>
      </c>
      <c r="J194" s="13">
        <f t="shared" si="8"/>
        <v>94.285714285714278</v>
      </c>
      <c r="K194" s="7">
        <v>99</v>
      </c>
      <c r="L194" s="11">
        <f t="shared" si="10"/>
        <v>0.6</v>
      </c>
    </row>
    <row r="195" spans="2:12" x14ac:dyDescent="0.35">
      <c r="B195" s="2" t="s">
        <v>569</v>
      </c>
      <c r="C195" s="3">
        <v>100000329576</v>
      </c>
      <c r="D195" s="4">
        <v>139925</v>
      </c>
      <c r="E195" s="16">
        <v>4047443419699</v>
      </c>
      <c r="F195" s="2" t="s">
        <v>575</v>
      </c>
      <c r="G195" s="2" t="s">
        <v>637</v>
      </c>
      <c r="H195" s="6" t="s">
        <v>220</v>
      </c>
      <c r="I195" s="12">
        <f t="shared" si="9"/>
        <v>41.523809523809526</v>
      </c>
      <c r="J195" s="13">
        <f t="shared" ref="J195:J258" si="11">K195/(1+5%)</f>
        <v>103.80952380952381</v>
      </c>
      <c r="K195" s="7">
        <v>109</v>
      </c>
      <c r="L195" s="11">
        <f t="shared" si="10"/>
        <v>0.6</v>
      </c>
    </row>
    <row r="196" spans="2:12" x14ac:dyDescent="0.35">
      <c r="B196" s="2" t="s">
        <v>569</v>
      </c>
      <c r="C196" s="3">
        <v>100000329577</v>
      </c>
      <c r="D196" s="4">
        <v>139926</v>
      </c>
      <c r="E196" s="16">
        <v>4047443419705</v>
      </c>
      <c r="F196" s="2" t="s">
        <v>575</v>
      </c>
      <c r="G196" s="2" t="s">
        <v>637</v>
      </c>
      <c r="H196" s="6" t="s">
        <v>221</v>
      </c>
      <c r="I196" s="12">
        <f t="shared" si="9"/>
        <v>41.523809523809526</v>
      </c>
      <c r="J196" s="13">
        <f t="shared" si="11"/>
        <v>103.80952380952381</v>
      </c>
      <c r="K196" s="7">
        <v>109</v>
      </c>
      <c r="L196" s="11">
        <f t="shared" si="10"/>
        <v>0.6</v>
      </c>
    </row>
    <row r="197" spans="2:12" x14ac:dyDescent="0.35">
      <c r="B197" s="2" t="s">
        <v>569</v>
      </c>
      <c r="C197" s="3">
        <v>100000329578</v>
      </c>
      <c r="D197" s="4">
        <v>139927</v>
      </c>
      <c r="E197" s="16">
        <v>4047443419712</v>
      </c>
      <c r="F197" s="2" t="s">
        <v>575</v>
      </c>
      <c r="G197" s="2" t="s">
        <v>637</v>
      </c>
      <c r="H197" s="6" t="s">
        <v>222</v>
      </c>
      <c r="I197" s="12">
        <f t="shared" si="9"/>
        <v>49.142857142857139</v>
      </c>
      <c r="J197" s="13">
        <f t="shared" si="11"/>
        <v>122.85714285714285</v>
      </c>
      <c r="K197" s="7">
        <v>129</v>
      </c>
      <c r="L197" s="11">
        <f t="shared" si="10"/>
        <v>0.6</v>
      </c>
    </row>
    <row r="198" spans="2:12" x14ac:dyDescent="0.35">
      <c r="B198" s="2" t="s">
        <v>569</v>
      </c>
      <c r="C198" s="3">
        <v>100000335544</v>
      </c>
      <c r="D198" s="4">
        <v>12325</v>
      </c>
      <c r="E198" s="16">
        <v>4007249123251</v>
      </c>
      <c r="F198" s="2" t="s">
        <v>575</v>
      </c>
      <c r="G198" s="2" t="s">
        <v>637</v>
      </c>
      <c r="H198" s="6" t="s">
        <v>223</v>
      </c>
      <c r="I198" s="12">
        <f t="shared" si="9"/>
        <v>33.904761904761905</v>
      </c>
      <c r="J198" s="13">
        <f t="shared" si="11"/>
        <v>84.761904761904759</v>
      </c>
      <c r="K198" s="7">
        <v>89</v>
      </c>
      <c r="L198" s="11">
        <f t="shared" si="10"/>
        <v>0.6</v>
      </c>
    </row>
    <row r="199" spans="2:12" x14ac:dyDescent="0.35">
      <c r="B199" s="2" t="s">
        <v>569</v>
      </c>
      <c r="C199" s="3">
        <v>100000335548</v>
      </c>
      <c r="D199" s="4">
        <v>53064</v>
      </c>
      <c r="E199" s="16">
        <v>4007249530646</v>
      </c>
      <c r="F199" s="2" t="s">
        <v>575</v>
      </c>
      <c r="G199" s="2" t="s">
        <v>637</v>
      </c>
      <c r="H199" s="6" t="s">
        <v>224</v>
      </c>
      <c r="I199" s="12">
        <f t="shared" si="9"/>
        <v>45.333333333333336</v>
      </c>
      <c r="J199" s="13">
        <f t="shared" si="11"/>
        <v>113.33333333333333</v>
      </c>
      <c r="K199" s="7">
        <v>119</v>
      </c>
      <c r="L199" s="11">
        <f t="shared" si="10"/>
        <v>0.6</v>
      </c>
    </row>
    <row r="200" spans="2:12" x14ac:dyDescent="0.35">
      <c r="B200" s="2" t="s">
        <v>569</v>
      </c>
      <c r="C200" s="3">
        <v>100000335549</v>
      </c>
      <c r="D200" s="4">
        <v>53065</v>
      </c>
      <c r="E200" s="16">
        <v>4007249530653</v>
      </c>
      <c r="F200" s="2" t="s">
        <v>575</v>
      </c>
      <c r="G200" s="2" t="s">
        <v>637</v>
      </c>
      <c r="H200" s="6" t="s">
        <v>225</v>
      </c>
      <c r="I200" s="12">
        <f t="shared" si="9"/>
        <v>37.714285714285715</v>
      </c>
      <c r="J200" s="13">
        <f t="shared" si="11"/>
        <v>94.285714285714278</v>
      </c>
      <c r="K200" s="7">
        <v>99</v>
      </c>
      <c r="L200" s="11">
        <f t="shared" si="10"/>
        <v>0.6</v>
      </c>
    </row>
    <row r="201" spans="2:12" x14ac:dyDescent="0.35">
      <c r="B201" s="2" t="s">
        <v>569</v>
      </c>
      <c r="C201" s="3">
        <v>100000335542</v>
      </c>
      <c r="D201" s="4">
        <v>54513</v>
      </c>
      <c r="E201" s="16">
        <v>4007249545138</v>
      </c>
      <c r="F201" s="2" t="s">
        <v>575</v>
      </c>
      <c r="G201" s="2" t="s">
        <v>637</v>
      </c>
      <c r="H201" s="6" t="s">
        <v>226</v>
      </c>
      <c r="I201" s="12">
        <f t="shared" si="9"/>
        <v>30.095238095238098</v>
      </c>
      <c r="J201" s="13">
        <f t="shared" si="11"/>
        <v>75.238095238095241</v>
      </c>
      <c r="K201" s="7">
        <v>79</v>
      </c>
      <c r="L201" s="11">
        <f t="shared" si="10"/>
        <v>0.6</v>
      </c>
    </row>
    <row r="202" spans="2:12" x14ac:dyDescent="0.35">
      <c r="B202" s="2" t="s">
        <v>569</v>
      </c>
      <c r="C202" s="3">
        <v>100000335546</v>
      </c>
      <c r="D202" s="4">
        <v>101845</v>
      </c>
      <c r="E202" s="16">
        <v>4047443383594</v>
      </c>
      <c r="F202" s="2" t="s">
        <v>575</v>
      </c>
      <c r="G202" s="2" t="s">
        <v>637</v>
      </c>
      <c r="H202" s="6" t="s">
        <v>227</v>
      </c>
      <c r="I202" s="12">
        <f t="shared" si="9"/>
        <v>75.80952380952381</v>
      </c>
      <c r="J202" s="13">
        <f t="shared" si="11"/>
        <v>189.52380952380952</v>
      </c>
      <c r="K202" s="7">
        <v>199</v>
      </c>
      <c r="L202" s="11">
        <f t="shared" si="10"/>
        <v>0.6</v>
      </c>
    </row>
    <row r="203" spans="2:12" x14ac:dyDescent="0.35">
      <c r="B203" s="2" t="s">
        <v>569</v>
      </c>
      <c r="C203" s="3">
        <v>100000335545</v>
      </c>
      <c r="D203" s="4">
        <v>123590</v>
      </c>
      <c r="E203" s="16">
        <v>4047443366832</v>
      </c>
      <c r="F203" s="2" t="s">
        <v>575</v>
      </c>
      <c r="G203" s="2" t="s">
        <v>637</v>
      </c>
      <c r="H203" s="6" t="s">
        <v>228</v>
      </c>
      <c r="I203" s="12">
        <f t="shared" si="9"/>
        <v>26.285714285714285</v>
      </c>
      <c r="J203" s="13">
        <f t="shared" si="11"/>
        <v>65.714285714285708</v>
      </c>
      <c r="K203" s="7">
        <v>69</v>
      </c>
      <c r="L203" s="11">
        <f t="shared" si="10"/>
        <v>0.6</v>
      </c>
    </row>
    <row r="204" spans="2:12" x14ac:dyDescent="0.35">
      <c r="B204" s="2" t="s">
        <v>569</v>
      </c>
      <c r="C204" s="3">
        <v>100000306770</v>
      </c>
      <c r="D204" s="4">
        <v>135729</v>
      </c>
      <c r="E204" s="16">
        <v>4047443334688</v>
      </c>
      <c r="F204" s="2" t="s">
        <v>575</v>
      </c>
      <c r="G204" s="2" t="s">
        <v>637</v>
      </c>
      <c r="H204" s="6" t="s">
        <v>229</v>
      </c>
      <c r="I204" s="12">
        <f t="shared" si="9"/>
        <v>98.666666666666671</v>
      </c>
      <c r="J204" s="13">
        <f t="shared" si="11"/>
        <v>246.66666666666666</v>
      </c>
      <c r="K204" s="7">
        <v>259</v>
      </c>
      <c r="L204" s="11">
        <f t="shared" si="10"/>
        <v>0.6</v>
      </c>
    </row>
    <row r="205" spans="2:12" x14ac:dyDescent="0.35">
      <c r="B205" s="2" t="s">
        <v>569</v>
      </c>
      <c r="C205" s="3">
        <v>100000306773</v>
      </c>
      <c r="D205" s="4">
        <v>135756</v>
      </c>
      <c r="E205" s="16">
        <v>4047443367563</v>
      </c>
      <c r="F205" s="2" t="s">
        <v>575</v>
      </c>
      <c r="G205" s="2" t="s">
        <v>637</v>
      </c>
      <c r="H205" s="6" t="s">
        <v>230</v>
      </c>
      <c r="I205" s="12">
        <f t="shared" si="9"/>
        <v>75.80952380952381</v>
      </c>
      <c r="J205" s="13">
        <f t="shared" si="11"/>
        <v>189.52380952380952</v>
      </c>
      <c r="K205" s="7">
        <v>199</v>
      </c>
      <c r="L205" s="11">
        <f t="shared" si="10"/>
        <v>0.6</v>
      </c>
    </row>
    <row r="206" spans="2:12" x14ac:dyDescent="0.35">
      <c r="B206" s="2" t="s">
        <v>569</v>
      </c>
      <c r="C206" s="3">
        <v>100000335547</v>
      </c>
      <c r="D206" s="4">
        <v>139915</v>
      </c>
      <c r="E206" s="16">
        <v>4047443411440</v>
      </c>
      <c r="F206" s="2" t="s">
        <v>575</v>
      </c>
      <c r="G206" s="2" t="s">
        <v>637</v>
      </c>
      <c r="H206" s="6" t="s">
        <v>231</v>
      </c>
      <c r="I206" s="12">
        <f t="shared" si="9"/>
        <v>41.523809523809526</v>
      </c>
      <c r="J206" s="13">
        <f t="shared" si="11"/>
        <v>103.80952380952381</v>
      </c>
      <c r="K206" s="7">
        <v>109</v>
      </c>
      <c r="L206" s="11">
        <f t="shared" si="10"/>
        <v>0.6</v>
      </c>
    </row>
    <row r="207" spans="2:12" x14ac:dyDescent="0.35">
      <c r="B207" s="2" t="s">
        <v>569</v>
      </c>
      <c r="C207" s="3">
        <v>100000306776</v>
      </c>
      <c r="D207" s="4">
        <v>182620</v>
      </c>
      <c r="E207" s="16">
        <v>4047443371584</v>
      </c>
      <c r="F207" s="2" t="s">
        <v>575</v>
      </c>
      <c r="G207" s="2" t="s">
        <v>637</v>
      </c>
      <c r="H207" s="6" t="s">
        <v>232</v>
      </c>
      <c r="I207" s="12">
        <f t="shared" si="9"/>
        <v>14.857142857142856</v>
      </c>
      <c r="J207" s="13">
        <f t="shared" si="11"/>
        <v>37.142857142857139</v>
      </c>
      <c r="K207" s="7">
        <v>39</v>
      </c>
      <c r="L207" s="11">
        <f t="shared" si="10"/>
        <v>0.60000000000000009</v>
      </c>
    </row>
    <row r="208" spans="2:12" x14ac:dyDescent="0.35">
      <c r="B208" s="2" t="s">
        <v>569</v>
      </c>
      <c r="C208" s="3">
        <v>100000335543</v>
      </c>
      <c r="D208" s="4">
        <v>185216</v>
      </c>
      <c r="E208" s="16">
        <v>4047443399847</v>
      </c>
      <c r="F208" s="2" t="s">
        <v>575</v>
      </c>
      <c r="G208" s="2" t="s">
        <v>637</v>
      </c>
      <c r="H208" s="6" t="s">
        <v>233</v>
      </c>
      <c r="I208" s="12">
        <f t="shared" si="9"/>
        <v>37.714285714285715</v>
      </c>
      <c r="J208" s="13">
        <f t="shared" si="11"/>
        <v>94.285714285714278</v>
      </c>
      <c r="K208" s="7">
        <v>99</v>
      </c>
      <c r="L208" s="11">
        <f t="shared" si="10"/>
        <v>0.6</v>
      </c>
    </row>
    <row r="209" spans="2:12" x14ac:dyDescent="0.35">
      <c r="B209" s="2" t="s">
        <v>569</v>
      </c>
      <c r="C209" s="3">
        <v>100000267752</v>
      </c>
      <c r="D209" s="4" t="s">
        <v>592</v>
      </c>
      <c r="E209" s="16">
        <v>4047443273512</v>
      </c>
      <c r="F209" s="2" t="s">
        <v>575</v>
      </c>
      <c r="G209" s="2" t="s">
        <v>637</v>
      </c>
      <c r="H209" s="6" t="s">
        <v>234</v>
      </c>
      <c r="I209" s="12">
        <f t="shared" si="9"/>
        <v>9.5238095238095237</v>
      </c>
      <c r="J209" s="13">
        <f t="shared" si="11"/>
        <v>23.80952380952381</v>
      </c>
      <c r="K209" s="7">
        <v>25</v>
      </c>
      <c r="L209" s="11">
        <f t="shared" si="10"/>
        <v>0.6</v>
      </c>
    </row>
    <row r="210" spans="2:12" x14ac:dyDescent="0.35">
      <c r="B210" s="2" t="s">
        <v>569</v>
      </c>
      <c r="C210" s="3">
        <v>100000281932</v>
      </c>
      <c r="D210" s="4">
        <v>12192</v>
      </c>
      <c r="E210" s="16">
        <v>4007249121929</v>
      </c>
      <c r="F210" s="2" t="s">
        <v>575</v>
      </c>
      <c r="G210" s="2" t="s">
        <v>637</v>
      </c>
      <c r="H210" s="6" t="s">
        <v>235</v>
      </c>
      <c r="I210" s="12">
        <f t="shared" si="9"/>
        <v>49.142857142857139</v>
      </c>
      <c r="J210" s="13">
        <f t="shared" si="11"/>
        <v>122.85714285714285</v>
      </c>
      <c r="K210" s="7">
        <v>129</v>
      </c>
      <c r="L210" s="11">
        <f t="shared" si="10"/>
        <v>0.6</v>
      </c>
    </row>
    <row r="211" spans="2:12" x14ac:dyDescent="0.35">
      <c r="B211" s="2" t="s">
        <v>569</v>
      </c>
      <c r="C211" s="3">
        <v>100000001950</v>
      </c>
      <c r="D211" s="4">
        <v>41934</v>
      </c>
      <c r="E211" s="16">
        <v>4007249419347</v>
      </c>
      <c r="F211" s="2" t="s">
        <v>575</v>
      </c>
      <c r="G211" s="2" t="s">
        <v>637</v>
      </c>
      <c r="H211" s="6" t="s">
        <v>236</v>
      </c>
      <c r="I211" s="12">
        <f t="shared" si="9"/>
        <v>22.476190476190478</v>
      </c>
      <c r="J211" s="13">
        <f t="shared" si="11"/>
        <v>56.19047619047619</v>
      </c>
      <c r="K211" s="7">
        <v>59</v>
      </c>
      <c r="L211" s="11">
        <f t="shared" si="10"/>
        <v>0.59999999999999987</v>
      </c>
    </row>
    <row r="212" spans="2:12" x14ac:dyDescent="0.35">
      <c r="B212" s="2" t="s">
        <v>569</v>
      </c>
      <c r="C212" s="3">
        <v>100000166563</v>
      </c>
      <c r="D212" s="4">
        <v>45054</v>
      </c>
      <c r="E212" s="16">
        <v>4007249450548</v>
      </c>
      <c r="F212" s="2" t="s">
        <v>575</v>
      </c>
      <c r="G212" s="2" t="s">
        <v>637</v>
      </c>
      <c r="H212" s="6" t="s">
        <v>237</v>
      </c>
      <c r="I212" s="12">
        <f t="shared" si="9"/>
        <v>18.666666666666668</v>
      </c>
      <c r="J212" s="13">
        <f t="shared" si="11"/>
        <v>46.666666666666664</v>
      </c>
      <c r="K212" s="7">
        <v>49</v>
      </c>
      <c r="L212" s="11">
        <f t="shared" si="10"/>
        <v>0.6</v>
      </c>
    </row>
    <row r="213" spans="2:12" x14ac:dyDescent="0.35">
      <c r="B213" s="2" t="s">
        <v>569</v>
      </c>
      <c r="C213" s="3">
        <v>100000166565</v>
      </c>
      <c r="D213" s="4">
        <v>45056</v>
      </c>
      <c r="E213" s="16">
        <v>4007249450562</v>
      </c>
      <c r="F213" s="2" t="s">
        <v>575</v>
      </c>
      <c r="G213" s="2" t="s">
        <v>637</v>
      </c>
      <c r="H213" s="6" t="s">
        <v>238</v>
      </c>
      <c r="I213" s="12">
        <f t="shared" si="9"/>
        <v>26.285714285714285</v>
      </c>
      <c r="J213" s="13">
        <f t="shared" si="11"/>
        <v>65.714285714285708</v>
      </c>
      <c r="K213" s="7">
        <v>69</v>
      </c>
      <c r="L213" s="11">
        <f t="shared" si="10"/>
        <v>0.6</v>
      </c>
    </row>
    <row r="214" spans="2:12" x14ac:dyDescent="0.35">
      <c r="B214" s="2" t="s">
        <v>569</v>
      </c>
      <c r="C214" s="3">
        <v>100000166566</v>
      </c>
      <c r="D214" s="4">
        <v>45057</v>
      </c>
      <c r="E214" s="16">
        <v>4007249450579</v>
      </c>
      <c r="F214" s="2" t="s">
        <v>575</v>
      </c>
      <c r="G214" s="2" t="s">
        <v>637</v>
      </c>
      <c r="H214" s="6" t="s">
        <v>239</v>
      </c>
      <c r="I214" s="12">
        <f t="shared" si="9"/>
        <v>37.714285714285715</v>
      </c>
      <c r="J214" s="13">
        <f t="shared" si="11"/>
        <v>94.285714285714278</v>
      </c>
      <c r="K214" s="7">
        <v>99</v>
      </c>
      <c r="L214" s="11">
        <f t="shared" si="10"/>
        <v>0.6</v>
      </c>
    </row>
    <row r="215" spans="2:12" x14ac:dyDescent="0.35">
      <c r="B215" s="2" t="s">
        <v>569</v>
      </c>
      <c r="C215" s="3">
        <v>100000243379</v>
      </c>
      <c r="D215" s="4">
        <v>53245</v>
      </c>
      <c r="E215" s="16">
        <v>4007249532459</v>
      </c>
      <c r="F215" s="2" t="s">
        <v>575</v>
      </c>
      <c r="G215" s="2" t="s">
        <v>637</v>
      </c>
      <c r="H215" s="6" t="s">
        <v>240</v>
      </c>
      <c r="I215" s="12">
        <f t="shared" si="9"/>
        <v>26.285714285714285</v>
      </c>
      <c r="J215" s="13">
        <f t="shared" si="11"/>
        <v>65.714285714285708</v>
      </c>
      <c r="K215" s="7">
        <v>69</v>
      </c>
      <c r="L215" s="11">
        <f t="shared" si="10"/>
        <v>0.6</v>
      </c>
    </row>
    <row r="216" spans="2:12" x14ac:dyDescent="0.35">
      <c r="B216" s="2" t="s">
        <v>569</v>
      </c>
      <c r="C216" s="3">
        <v>100000101665</v>
      </c>
      <c r="D216" s="4">
        <v>57198</v>
      </c>
      <c r="E216" s="16">
        <v>4007249571984</v>
      </c>
      <c r="F216" s="2" t="s">
        <v>575</v>
      </c>
      <c r="G216" s="2" t="s">
        <v>637</v>
      </c>
      <c r="H216" s="6" t="s">
        <v>241</v>
      </c>
      <c r="I216" s="12">
        <f t="shared" si="9"/>
        <v>30.095238095238098</v>
      </c>
      <c r="J216" s="13">
        <f t="shared" si="11"/>
        <v>75.238095238095241</v>
      </c>
      <c r="K216" s="7">
        <v>79</v>
      </c>
      <c r="L216" s="11">
        <f t="shared" si="10"/>
        <v>0.6</v>
      </c>
    </row>
    <row r="217" spans="2:12" x14ac:dyDescent="0.35">
      <c r="B217" s="2" t="s">
        <v>569</v>
      </c>
      <c r="C217" s="3">
        <v>100000306767</v>
      </c>
      <c r="D217" s="4">
        <v>135726</v>
      </c>
      <c r="E217" s="16">
        <v>4047443317490</v>
      </c>
      <c r="F217" s="2" t="s">
        <v>575</v>
      </c>
      <c r="G217" s="2" t="s">
        <v>637</v>
      </c>
      <c r="H217" s="6" t="s">
        <v>242</v>
      </c>
      <c r="I217" s="12">
        <f t="shared" si="9"/>
        <v>45.333333333333336</v>
      </c>
      <c r="J217" s="13">
        <f t="shared" si="11"/>
        <v>113.33333333333333</v>
      </c>
      <c r="K217" s="7">
        <v>119</v>
      </c>
      <c r="L217" s="11">
        <f t="shared" si="10"/>
        <v>0.6</v>
      </c>
    </row>
    <row r="218" spans="2:12" x14ac:dyDescent="0.35">
      <c r="B218" s="2" t="s">
        <v>569</v>
      </c>
      <c r="C218" s="3">
        <v>100000306768</v>
      </c>
      <c r="D218" s="4">
        <v>135727</v>
      </c>
      <c r="E218" s="16">
        <v>4047443317506</v>
      </c>
      <c r="F218" s="2" t="s">
        <v>575</v>
      </c>
      <c r="G218" s="2" t="s">
        <v>637</v>
      </c>
      <c r="H218" s="6" t="s">
        <v>243</v>
      </c>
      <c r="I218" s="12">
        <f t="shared" si="9"/>
        <v>52.952380952380956</v>
      </c>
      <c r="J218" s="13">
        <f t="shared" si="11"/>
        <v>132.38095238095238</v>
      </c>
      <c r="K218" s="7">
        <v>139</v>
      </c>
      <c r="L218" s="11">
        <f t="shared" si="10"/>
        <v>0.59999999999999987</v>
      </c>
    </row>
    <row r="219" spans="2:12" x14ac:dyDescent="0.35">
      <c r="B219" s="2" t="s">
        <v>569</v>
      </c>
      <c r="C219" s="3">
        <v>100000306774</v>
      </c>
      <c r="D219" s="4">
        <v>135757</v>
      </c>
      <c r="E219" s="16">
        <v>4047443367648</v>
      </c>
      <c r="F219" s="2" t="s">
        <v>575</v>
      </c>
      <c r="G219" s="2" t="s">
        <v>637</v>
      </c>
      <c r="H219" s="6" t="s">
        <v>244</v>
      </c>
      <c r="I219" s="12">
        <f t="shared" si="9"/>
        <v>68.19047619047619</v>
      </c>
      <c r="J219" s="13">
        <f t="shared" si="11"/>
        <v>170.47619047619048</v>
      </c>
      <c r="K219" s="7">
        <v>179</v>
      </c>
      <c r="L219" s="11">
        <f t="shared" si="10"/>
        <v>0.6</v>
      </c>
    </row>
    <row r="220" spans="2:12" x14ac:dyDescent="0.35">
      <c r="B220" s="2" t="s">
        <v>569</v>
      </c>
      <c r="C220" s="3">
        <v>100000339441</v>
      </c>
      <c r="D220" s="4" t="s">
        <v>593</v>
      </c>
      <c r="E220" s="16">
        <v>4007249001009</v>
      </c>
      <c r="F220" s="2" t="s">
        <v>575</v>
      </c>
      <c r="G220" s="2" t="s">
        <v>637</v>
      </c>
      <c r="H220" s="6" t="s">
        <v>245</v>
      </c>
      <c r="I220" s="12">
        <f t="shared" si="9"/>
        <v>56.761904761904759</v>
      </c>
      <c r="J220" s="13">
        <f t="shared" si="11"/>
        <v>141.9047619047619</v>
      </c>
      <c r="K220" s="7">
        <v>149</v>
      </c>
      <c r="L220" s="11">
        <f t="shared" si="10"/>
        <v>0.6</v>
      </c>
    </row>
    <row r="221" spans="2:12" x14ac:dyDescent="0.35">
      <c r="B221" s="2" t="s">
        <v>569</v>
      </c>
      <c r="C221" s="3">
        <v>100000339442</v>
      </c>
      <c r="D221" s="4" t="s">
        <v>594</v>
      </c>
      <c r="E221" s="16">
        <v>4007249017819</v>
      </c>
      <c r="F221" s="2" t="s">
        <v>575</v>
      </c>
      <c r="G221" s="2" t="s">
        <v>637</v>
      </c>
      <c r="H221" s="6" t="s">
        <v>246</v>
      </c>
      <c r="I221" s="12">
        <f t="shared" si="9"/>
        <v>41.523809523809526</v>
      </c>
      <c r="J221" s="13">
        <f t="shared" si="11"/>
        <v>103.80952380952381</v>
      </c>
      <c r="K221" s="7">
        <v>109</v>
      </c>
      <c r="L221" s="11">
        <f t="shared" si="10"/>
        <v>0.6</v>
      </c>
    </row>
    <row r="222" spans="2:12" x14ac:dyDescent="0.35">
      <c r="B222" s="2" t="s">
        <v>569</v>
      </c>
      <c r="C222" s="3">
        <v>100000339443</v>
      </c>
      <c r="D222" s="4" t="s">
        <v>595</v>
      </c>
      <c r="E222" s="16">
        <v>4007249020482</v>
      </c>
      <c r="F222" s="2" t="s">
        <v>575</v>
      </c>
      <c r="G222" s="2" t="s">
        <v>637</v>
      </c>
      <c r="H222" s="6" t="s">
        <v>247</v>
      </c>
      <c r="I222" s="12">
        <f t="shared" si="9"/>
        <v>49.142857142857139</v>
      </c>
      <c r="J222" s="13">
        <f t="shared" si="11"/>
        <v>122.85714285714285</v>
      </c>
      <c r="K222" s="7">
        <v>129</v>
      </c>
      <c r="L222" s="11">
        <f t="shared" si="10"/>
        <v>0.6</v>
      </c>
    </row>
    <row r="223" spans="2:12" x14ac:dyDescent="0.35">
      <c r="B223" s="2" t="s">
        <v>569</v>
      </c>
      <c r="C223" s="3">
        <v>100000339444</v>
      </c>
      <c r="D223" s="4" t="s">
        <v>596</v>
      </c>
      <c r="E223" s="16">
        <v>4007249020567</v>
      </c>
      <c r="F223" s="2" t="s">
        <v>575</v>
      </c>
      <c r="G223" s="2" t="s">
        <v>637</v>
      </c>
      <c r="H223" s="6" t="s">
        <v>248</v>
      </c>
      <c r="I223" s="12">
        <f t="shared" si="9"/>
        <v>49.142857142857139</v>
      </c>
      <c r="J223" s="13">
        <f t="shared" si="11"/>
        <v>122.85714285714285</v>
      </c>
      <c r="K223" s="7">
        <v>129</v>
      </c>
      <c r="L223" s="11">
        <f t="shared" si="10"/>
        <v>0.6</v>
      </c>
    </row>
    <row r="224" spans="2:12" x14ac:dyDescent="0.35">
      <c r="B224" s="2" t="s">
        <v>569</v>
      </c>
      <c r="C224" s="3">
        <v>100000339957</v>
      </c>
      <c r="D224" s="4">
        <v>139999</v>
      </c>
      <c r="E224" s="16">
        <v>4047443458469</v>
      </c>
      <c r="F224" s="2" t="s">
        <v>575</v>
      </c>
      <c r="G224" s="2" t="s">
        <v>637</v>
      </c>
      <c r="H224" s="6" t="s">
        <v>249</v>
      </c>
      <c r="I224" s="12">
        <f t="shared" si="9"/>
        <v>94.857142857142861</v>
      </c>
      <c r="J224" s="13">
        <f t="shared" si="11"/>
        <v>237.14285714285714</v>
      </c>
      <c r="K224" s="7">
        <v>249</v>
      </c>
      <c r="L224" s="11">
        <f t="shared" si="10"/>
        <v>0.6</v>
      </c>
    </row>
    <row r="225" spans="2:12" x14ac:dyDescent="0.35">
      <c r="B225" s="2" t="s">
        <v>569</v>
      </c>
      <c r="C225" s="3">
        <v>100000338643</v>
      </c>
      <c r="D225" s="4" t="s">
        <v>597</v>
      </c>
      <c r="E225" s="16">
        <v>4047443443090</v>
      </c>
      <c r="F225" s="2" t="s">
        <v>575</v>
      </c>
      <c r="G225" s="2" t="s">
        <v>637</v>
      </c>
      <c r="H225" s="6" t="s">
        <v>250</v>
      </c>
      <c r="I225" s="12">
        <f t="shared" si="9"/>
        <v>9.5238095238095237</v>
      </c>
      <c r="J225" s="13">
        <f t="shared" si="11"/>
        <v>23.80952380952381</v>
      </c>
      <c r="K225" s="7">
        <v>25</v>
      </c>
      <c r="L225" s="11">
        <f t="shared" si="10"/>
        <v>0.6</v>
      </c>
    </row>
    <row r="226" spans="2:12" x14ac:dyDescent="0.35">
      <c r="B226" s="2" t="s">
        <v>569</v>
      </c>
      <c r="C226" s="3">
        <v>100000097628</v>
      </c>
      <c r="D226" s="4" t="s">
        <v>598</v>
      </c>
      <c r="E226" s="16">
        <v>4047443443106</v>
      </c>
      <c r="F226" s="2" t="s">
        <v>575</v>
      </c>
      <c r="G226" s="2" t="s">
        <v>637</v>
      </c>
      <c r="H226" s="6" t="s">
        <v>251</v>
      </c>
      <c r="I226" s="12">
        <f t="shared" si="9"/>
        <v>26.285714285714285</v>
      </c>
      <c r="J226" s="13">
        <f t="shared" si="11"/>
        <v>65.714285714285708</v>
      </c>
      <c r="K226" s="7">
        <v>69</v>
      </c>
      <c r="L226" s="11">
        <f t="shared" si="10"/>
        <v>0.6</v>
      </c>
    </row>
    <row r="227" spans="2:12" x14ac:dyDescent="0.35">
      <c r="B227" s="2" t="s">
        <v>569</v>
      </c>
      <c r="C227" s="3">
        <v>100000339417</v>
      </c>
      <c r="D227" s="4" t="s">
        <v>599</v>
      </c>
      <c r="E227" s="16">
        <v>4047443443113</v>
      </c>
      <c r="F227" s="2" t="s">
        <v>575</v>
      </c>
      <c r="G227" s="2" t="s">
        <v>637</v>
      </c>
      <c r="H227" s="6" t="s">
        <v>252</v>
      </c>
      <c r="I227" s="12">
        <f t="shared" si="9"/>
        <v>18.666666666666668</v>
      </c>
      <c r="J227" s="13">
        <f t="shared" si="11"/>
        <v>46.666666666666664</v>
      </c>
      <c r="K227" s="7">
        <v>49</v>
      </c>
      <c r="L227" s="11">
        <f t="shared" si="10"/>
        <v>0.6</v>
      </c>
    </row>
    <row r="228" spans="2:12" x14ac:dyDescent="0.35">
      <c r="B228" s="2" t="s">
        <v>569</v>
      </c>
      <c r="C228" s="3">
        <v>100000339446</v>
      </c>
      <c r="D228" s="4">
        <v>216466</v>
      </c>
      <c r="E228" s="16">
        <v>4047443462282</v>
      </c>
      <c r="F228" s="2" t="s">
        <v>575</v>
      </c>
      <c r="G228" s="2" t="s">
        <v>637</v>
      </c>
      <c r="H228" s="6" t="s">
        <v>253</v>
      </c>
      <c r="I228" s="12">
        <f t="shared" si="9"/>
        <v>60.571428571428569</v>
      </c>
      <c r="J228" s="13">
        <f t="shared" si="11"/>
        <v>151.42857142857142</v>
      </c>
      <c r="K228" s="7">
        <v>159</v>
      </c>
      <c r="L228" s="11">
        <f t="shared" si="10"/>
        <v>0.6</v>
      </c>
    </row>
    <row r="229" spans="2:12" x14ac:dyDescent="0.35">
      <c r="B229" s="2" t="s">
        <v>569</v>
      </c>
      <c r="C229" s="3">
        <v>100000339447</v>
      </c>
      <c r="D229" s="4">
        <v>216474</v>
      </c>
      <c r="E229" s="16">
        <v>4047443462473</v>
      </c>
      <c r="F229" s="2" t="s">
        <v>575</v>
      </c>
      <c r="G229" s="2" t="s">
        <v>637</v>
      </c>
      <c r="H229" s="6" t="s">
        <v>254</v>
      </c>
      <c r="I229" s="12">
        <f t="shared" si="9"/>
        <v>68.19047619047619</v>
      </c>
      <c r="J229" s="13">
        <f t="shared" si="11"/>
        <v>170.47619047619048</v>
      </c>
      <c r="K229" s="7">
        <v>179</v>
      </c>
      <c r="L229" s="11">
        <f t="shared" si="10"/>
        <v>0.6</v>
      </c>
    </row>
    <row r="230" spans="2:12" x14ac:dyDescent="0.35">
      <c r="B230" s="2" t="s">
        <v>569</v>
      </c>
      <c r="C230" s="3">
        <v>100000339448</v>
      </c>
      <c r="D230" s="4">
        <v>216460</v>
      </c>
      <c r="E230" s="16">
        <v>4047443462121</v>
      </c>
      <c r="F230" s="2" t="s">
        <v>575</v>
      </c>
      <c r="G230" s="2" t="s">
        <v>637</v>
      </c>
      <c r="H230" s="6" t="s">
        <v>255</v>
      </c>
      <c r="I230" s="12">
        <f t="shared" si="9"/>
        <v>49.142857142857139</v>
      </c>
      <c r="J230" s="13">
        <f t="shared" si="11"/>
        <v>122.85714285714285</v>
      </c>
      <c r="K230" s="7">
        <v>129</v>
      </c>
      <c r="L230" s="11">
        <f t="shared" si="10"/>
        <v>0.6</v>
      </c>
    </row>
    <row r="231" spans="2:12" x14ac:dyDescent="0.35">
      <c r="B231" s="2" t="s">
        <v>569</v>
      </c>
      <c r="C231" s="3">
        <v>100000339449</v>
      </c>
      <c r="D231" s="4">
        <v>216468</v>
      </c>
      <c r="E231" s="16">
        <v>4047443462398</v>
      </c>
      <c r="F231" s="2" t="s">
        <v>575</v>
      </c>
      <c r="G231" s="2" t="s">
        <v>637</v>
      </c>
      <c r="H231" s="6" t="s">
        <v>256</v>
      </c>
      <c r="I231" s="12">
        <f t="shared" si="9"/>
        <v>52.952380952380956</v>
      </c>
      <c r="J231" s="13">
        <f t="shared" si="11"/>
        <v>132.38095238095238</v>
      </c>
      <c r="K231" s="7">
        <v>139</v>
      </c>
      <c r="L231" s="11">
        <f t="shared" si="10"/>
        <v>0.59999999999999987</v>
      </c>
    </row>
    <row r="232" spans="2:12" x14ac:dyDescent="0.35">
      <c r="B232" s="2" t="s">
        <v>569</v>
      </c>
      <c r="C232" s="3">
        <v>100000339468</v>
      </c>
      <c r="D232" s="4">
        <v>216470</v>
      </c>
      <c r="E232" s="16">
        <v>4047443462428</v>
      </c>
      <c r="F232" s="2" t="s">
        <v>575</v>
      </c>
      <c r="G232" s="2" t="s">
        <v>637</v>
      </c>
      <c r="H232" s="6" t="s">
        <v>257</v>
      </c>
      <c r="I232" s="12">
        <f t="shared" si="9"/>
        <v>52.952380952380956</v>
      </c>
      <c r="J232" s="13">
        <f t="shared" si="11"/>
        <v>132.38095238095238</v>
      </c>
      <c r="K232" s="7">
        <v>139</v>
      </c>
      <c r="L232" s="11">
        <f t="shared" si="10"/>
        <v>0.59999999999999987</v>
      </c>
    </row>
    <row r="233" spans="2:12" x14ac:dyDescent="0.35">
      <c r="B233" s="2" t="s">
        <v>569</v>
      </c>
      <c r="C233" s="3">
        <v>100000339469</v>
      </c>
      <c r="D233" s="4">
        <v>119459</v>
      </c>
      <c r="E233" s="16">
        <v>4047443441966</v>
      </c>
      <c r="F233" s="2" t="s">
        <v>575</v>
      </c>
      <c r="G233" s="2" t="s">
        <v>637</v>
      </c>
      <c r="H233" s="6" t="s">
        <v>258</v>
      </c>
      <c r="I233" s="12">
        <f t="shared" si="9"/>
        <v>52.952380952380956</v>
      </c>
      <c r="J233" s="13">
        <f t="shared" si="11"/>
        <v>132.38095238095238</v>
      </c>
      <c r="K233" s="7">
        <v>139</v>
      </c>
      <c r="L233" s="11">
        <f t="shared" si="10"/>
        <v>0.59999999999999987</v>
      </c>
    </row>
    <row r="234" spans="2:12" x14ac:dyDescent="0.35">
      <c r="B234" s="2" t="s">
        <v>569</v>
      </c>
      <c r="C234" s="3">
        <v>100000339470</v>
      </c>
      <c r="D234" s="4">
        <v>119454</v>
      </c>
      <c r="E234" s="16">
        <v>4047443441980</v>
      </c>
      <c r="F234" s="2" t="s">
        <v>575</v>
      </c>
      <c r="G234" s="2" t="s">
        <v>637</v>
      </c>
      <c r="H234" s="6" t="s">
        <v>259</v>
      </c>
      <c r="I234" s="12">
        <f t="shared" ref="I234:I297" si="12">0.4*J234</f>
        <v>56.761904761904759</v>
      </c>
      <c r="J234" s="13">
        <f t="shared" si="11"/>
        <v>141.9047619047619</v>
      </c>
      <c r="K234" s="7">
        <v>149</v>
      </c>
      <c r="L234" s="11">
        <f t="shared" ref="L234:L297" si="13">(J234-I234)/J234</f>
        <v>0.6</v>
      </c>
    </row>
    <row r="235" spans="2:12" x14ac:dyDescent="0.35">
      <c r="B235" s="2" t="s">
        <v>569</v>
      </c>
      <c r="C235" s="3">
        <v>100000339471</v>
      </c>
      <c r="D235" s="4">
        <v>216464</v>
      </c>
      <c r="E235" s="16">
        <v>4047443462213</v>
      </c>
      <c r="F235" s="2" t="s">
        <v>575</v>
      </c>
      <c r="G235" s="2" t="s">
        <v>637</v>
      </c>
      <c r="H235" s="6" t="s">
        <v>260</v>
      </c>
      <c r="I235" s="12">
        <f t="shared" si="12"/>
        <v>49.142857142857139</v>
      </c>
      <c r="J235" s="13">
        <f t="shared" si="11"/>
        <v>122.85714285714285</v>
      </c>
      <c r="K235" s="7">
        <v>129</v>
      </c>
      <c r="L235" s="11">
        <f t="shared" si="13"/>
        <v>0.6</v>
      </c>
    </row>
    <row r="236" spans="2:12" x14ac:dyDescent="0.35">
      <c r="B236" s="2" t="s">
        <v>569</v>
      </c>
      <c r="C236" s="3">
        <v>100000339472</v>
      </c>
      <c r="D236" s="4">
        <v>216472</v>
      </c>
      <c r="E236" s="16">
        <v>4047443462459</v>
      </c>
      <c r="F236" s="2" t="s">
        <v>575</v>
      </c>
      <c r="G236" s="2" t="s">
        <v>637</v>
      </c>
      <c r="H236" s="6" t="s">
        <v>261</v>
      </c>
      <c r="I236" s="12">
        <f t="shared" si="12"/>
        <v>52.952380952380956</v>
      </c>
      <c r="J236" s="13">
        <f t="shared" si="11"/>
        <v>132.38095238095238</v>
      </c>
      <c r="K236" s="7">
        <v>139</v>
      </c>
      <c r="L236" s="11">
        <f t="shared" si="13"/>
        <v>0.59999999999999987</v>
      </c>
    </row>
    <row r="237" spans="2:12" x14ac:dyDescent="0.35">
      <c r="B237" s="2" t="s">
        <v>569</v>
      </c>
      <c r="C237" s="3">
        <v>100000339473</v>
      </c>
      <c r="D237" s="4">
        <v>200106</v>
      </c>
      <c r="E237" s="16">
        <v>4047443449160</v>
      </c>
      <c r="F237" s="2" t="s">
        <v>575</v>
      </c>
      <c r="G237" s="2" t="s">
        <v>637</v>
      </c>
      <c r="H237" s="6" t="s">
        <v>262</v>
      </c>
      <c r="I237" s="12">
        <f t="shared" si="12"/>
        <v>304.38095238095241</v>
      </c>
      <c r="J237" s="13">
        <f t="shared" si="11"/>
        <v>760.95238095238096</v>
      </c>
      <c r="K237" s="7">
        <v>799</v>
      </c>
      <c r="L237" s="11">
        <f t="shared" si="13"/>
        <v>0.6</v>
      </c>
    </row>
    <row r="238" spans="2:12" x14ac:dyDescent="0.35">
      <c r="B238" s="2" t="s">
        <v>569</v>
      </c>
      <c r="C238" s="3">
        <v>100000207975</v>
      </c>
      <c r="D238" s="4" t="s">
        <v>600</v>
      </c>
      <c r="E238" s="16">
        <v>4047443273536</v>
      </c>
      <c r="F238" s="2" t="s">
        <v>575</v>
      </c>
      <c r="G238" s="2" t="s">
        <v>637</v>
      </c>
      <c r="H238" s="6" t="s">
        <v>263</v>
      </c>
      <c r="I238" s="12">
        <f t="shared" si="12"/>
        <v>20.952380952380953</v>
      </c>
      <c r="J238" s="13">
        <f t="shared" si="11"/>
        <v>52.38095238095238</v>
      </c>
      <c r="K238" s="7">
        <v>55</v>
      </c>
      <c r="L238" s="11">
        <f t="shared" si="13"/>
        <v>0.6</v>
      </c>
    </row>
    <row r="239" spans="2:12" x14ac:dyDescent="0.35">
      <c r="B239" s="2" t="s">
        <v>569</v>
      </c>
      <c r="C239" s="3">
        <v>100000207977</v>
      </c>
      <c r="D239" s="4" t="s">
        <v>601</v>
      </c>
      <c r="E239" s="16">
        <v>4047443273567</v>
      </c>
      <c r="F239" s="2" t="s">
        <v>575</v>
      </c>
      <c r="G239" s="2" t="s">
        <v>637</v>
      </c>
      <c r="H239" s="6" t="s">
        <v>264</v>
      </c>
      <c r="I239" s="12">
        <f t="shared" si="12"/>
        <v>26.285714285714285</v>
      </c>
      <c r="J239" s="13">
        <f t="shared" si="11"/>
        <v>65.714285714285708</v>
      </c>
      <c r="K239" s="7">
        <v>69</v>
      </c>
      <c r="L239" s="11">
        <f t="shared" si="13"/>
        <v>0.6</v>
      </c>
    </row>
    <row r="240" spans="2:12" x14ac:dyDescent="0.35">
      <c r="B240" s="2" t="s">
        <v>569</v>
      </c>
      <c r="C240" s="3">
        <v>100000246236</v>
      </c>
      <c r="D240" s="4">
        <v>52344</v>
      </c>
      <c r="E240" s="16">
        <v>4007249523440</v>
      </c>
      <c r="F240" s="2" t="s">
        <v>575</v>
      </c>
      <c r="G240" s="2" t="s">
        <v>637</v>
      </c>
      <c r="H240" s="6" t="s">
        <v>265</v>
      </c>
      <c r="I240" s="12">
        <f t="shared" si="12"/>
        <v>37.714285714285715</v>
      </c>
      <c r="J240" s="13">
        <f t="shared" si="11"/>
        <v>94.285714285714278</v>
      </c>
      <c r="K240" s="7">
        <v>99</v>
      </c>
      <c r="L240" s="11">
        <f t="shared" si="13"/>
        <v>0.6</v>
      </c>
    </row>
    <row r="241" spans="2:12" x14ac:dyDescent="0.35">
      <c r="B241" s="2" t="s">
        <v>569</v>
      </c>
      <c r="C241" s="3">
        <v>100000339474</v>
      </c>
      <c r="D241" s="4">
        <v>54563</v>
      </c>
      <c r="E241" s="16">
        <v>4007249545633</v>
      </c>
      <c r="F241" s="2" t="s">
        <v>575</v>
      </c>
      <c r="G241" s="2" t="s">
        <v>637</v>
      </c>
      <c r="H241" s="6" t="s">
        <v>266</v>
      </c>
      <c r="I241" s="12">
        <f t="shared" si="12"/>
        <v>30.095238095238098</v>
      </c>
      <c r="J241" s="13">
        <f t="shared" si="11"/>
        <v>75.238095238095241</v>
      </c>
      <c r="K241" s="7">
        <v>79</v>
      </c>
      <c r="L241" s="11">
        <f t="shared" si="13"/>
        <v>0.6</v>
      </c>
    </row>
    <row r="242" spans="2:12" x14ac:dyDescent="0.35">
      <c r="B242" s="2" t="s">
        <v>569</v>
      </c>
      <c r="C242" s="3">
        <v>100000339475</v>
      </c>
      <c r="D242" s="4">
        <v>54777</v>
      </c>
      <c r="E242" s="16">
        <v>4007249547774</v>
      </c>
      <c r="F242" s="2" t="s">
        <v>575</v>
      </c>
      <c r="G242" s="2" t="s">
        <v>637</v>
      </c>
      <c r="H242" s="6" t="s">
        <v>267</v>
      </c>
      <c r="I242" s="12">
        <f t="shared" si="12"/>
        <v>14.857142857142856</v>
      </c>
      <c r="J242" s="13">
        <f t="shared" si="11"/>
        <v>37.142857142857139</v>
      </c>
      <c r="K242" s="7">
        <v>39</v>
      </c>
      <c r="L242" s="11">
        <f t="shared" si="13"/>
        <v>0.60000000000000009</v>
      </c>
    </row>
    <row r="243" spans="2:12" x14ac:dyDescent="0.35">
      <c r="B243" s="2" t="s">
        <v>569</v>
      </c>
      <c r="C243" s="3">
        <v>100000339476</v>
      </c>
      <c r="D243" s="4">
        <v>122214</v>
      </c>
      <c r="E243" s="16">
        <v>4047443333865</v>
      </c>
      <c r="F243" s="2" t="s">
        <v>575</v>
      </c>
      <c r="G243" s="2" t="s">
        <v>637</v>
      </c>
      <c r="H243" s="6" t="s">
        <v>268</v>
      </c>
      <c r="I243" s="12">
        <f t="shared" si="12"/>
        <v>41.523809523809526</v>
      </c>
      <c r="J243" s="13">
        <f t="shared" si="11"/>
        <v>103.80952380952381</v>
      </c>
      <c r="K243" s="7">
        <v>109</v>
      </c>
      <c r="L243" s="11">
        <f t="shared" si="13"/>
        <v>0.6</v>
      </c>
    </row>
    <row r="244" spans="2:12" x14ac:dyDescent="0.35">
      <c r="B244" s="2" t="s">
        <v>569</v>
      </c>
      <c r="C244" s="3">
        <v>100000309711</v>
      </c>
      <c r="D244" s="4">
        <v>182621</v>
      </c>
      <c r="E244" s="16">
        <v>4047443371645</v>
      </c>
      <c r="F244" s="2" t="s">
        <v>575</v>
      </c>
      <c r="G244" s="2" t="s">
        <v>637</v>
      </c>
      <c r="H244" s="6" t="s">
        <v>269</v>
      </c>
      <c r="I244" s="12">
        <f t="shared" si="12"/>
        <v>14.857142857142856</v>
      </c>
      <c r="J244" s="13">
        <f t="shared" si="11"/>
        <v>37.142857142857139</v>
      </c>
      <c r="K244" s="7">
        <v>39</v>
      </c>
      <c r="L244" s="11">
        <f t="shared" si="13"/>
        <v>0.60000000000000009</v>
      </c>
    </row>
    <row r="245" spans="2:12" x14ac:dyDescent="0.35">
      <c r="B245" s="2" t="s">
        <v>569</v>
      </c>
      <c r="C245" s="3">
        <v>100000339477</v>
      </c>
      <c r="D245" s="4">
        <v>185215</v>
      </c>
      <c r="E245" s="16">
        <v>4047443399830</v>
      </c>
      <c r="F245" s="2" t="s">
        <v>575</v>
      </c>
      <c r="G245" s="2" t="s">
        <v>637</v>
      </c>
      <c r="H245" s="6" t="s">
        <v>270</v>
      </c>
      <c r="I245" s="12">
        <f t="shared" si="12"/>
        <v>22.476190476190478</v>
      </c>
      <c r="J245" s="13">
        <f t="shared" si="11"/>
        <v>56.19047619047619</v>
      </c>
      <c r="K245" s="7">
        <v>59</v>
      </c>
      <c r="L245" s="11">
        <f t="shared" si="13"/>
        <v>0.59999999999999987</v>
      </c>
    </row>
    <row r="246" spans="2:12" x14ac:dyDescent="0.35">
      <c r="B246" s="2" t="s">
        <v>569</v>
      </c>
      <c r="C246" s="3">
        <v>100000253825</v>
      </c>
      <c r="D246" s="4">
        <v>73050176</v>
      </c>
      <c r="E246" s="16">
        <v>4047443241719</v>
      </c>
      <c r="F246" s="2" t="s">
        <v>575</v>
      </c>
      <c r="G246" s="2" t="s">
        <v>637</v>
      </c>
      <c r="H246" s="6" t="s">
        <v>271</v>
      </c>
      <c r="I246" s="12">
        <f t="shared" si="12"/>
        <v>102.47619047619048</v>
      </c>
      <c r="J246" s="13">
        <f t="shared" si="11"/>
        <v>256.1904761904762</v>
      </c>
      <c r="K246" s="7">
        <v>269</v>
      </c>
      <c r="L246" s="11">
        <f t="shared" si="13"/>
        <v>0.6</v>
      </c>
    </row>
    <row r="247" spans="2:12" x14ac:dyDescent="0.35">
      <c r="B247" s="2" t="s">
        <v>569</v>
      </c>
      <c r="C247" s="3">
        <v>100000339478</v>
      </c>
      <c r="D247" s="4">
        <v>73050316</v>
      </c>
      <c r="E247" s="16">
        <v>4047443287953</v>
      </c>
      <c r="F247" s="2" t="s">
        <v>575</v>
      </c>
      <c r="G247" s="2" t="s">
        <v>637</v>
      </c>
      <c r="H247" s="6" t="s">
        <v>272</v>
      </c>
      <c r="I247" s="12">
        <f t="shared" si="12"/>
        <v>75.80952380952381</v>
      </c>
      <c r="J247" s="13">
        <f t="shared" si="11"/>
        <v>189.52380952380952</v>
      </c>
      <c r="K247" s="7">
        <v>199</v>
      </c>
      <c r="L247" s="11">
        <f t="shared" si="13"/>
        <v>0.6</v>
      </c>
    </row>
    <row r="248" spans="2:12" x14ac:dyDescent="0.35">
      <c r="B248" s="2" t="s">
        <v>569</v>
      </c>
      <c r="C248" s="3">
        <v>100000342323</v>
      </c>
      <c r="D248" s="4">
        <v>200660</v>
      </c>
      <c r="E248" s="16">
        <v>4047443444035</v>
      </c>
      <c r="F248" s="2" t="s">
        <v>575</v>
      </c>
      <c r="G248" s="2" t="s">
        <v>637</v>
      </c>
      <c r="H248" s="6" t="s">
        <v>273</v>
      </c>
      <c r="I248" s="12">
        <f t="shared" si="12"/>
        <v>64.38095238095238</v>
      </c>
      <c r="J248" s="13">
        <f t="shared" si="11"/>
        <v>160.95238095238093</v>
      </c>
      <c r="K248" s="7">
        <v>169</v>
      </c>
      <c r="L248" s="11">
        <f t="shared" si="13"/>
        <v>0.6</v>
      </c>
    </row>
    <row r="249" spans="2:12" x14ac:dyDescent="0.35">
      <c r="B249" s="2" t="s">
        <v>569</v>
      </c>
      <c r="C249" s="3">
        <v>100000342324</v>
      </c>
      <c r="D249" s="4">
        <v>200661</v>
      </c>
      <c r="E249" s="16">
        <v>4047443444042</v>
      </c>
      <c r="F249" s="2" t="s">
        <v>575</v>
      </c>
      <c r="G249" s="2" t="s">
        <v>637</v>
      </c>
      <c r="H249" s="6" t="s">
        <v>274</v>
      </c>
      <c r="I249" s="12">
        <f t="shared" si="12"/>
        <v>75.80952380952381</v>
      </c>
      <c r="J249" s="13">
        <f t="shared" si="11"/>
        <v>189.52380952380952</v>
      </c>
      <c r="K249" s="7">
        <v>199</v>
      </c>
      <c r="L249" s="11">
        <f t="shared" si="13"/>
        <v>0.6</v>
      </c>
    </row>
    <row r="250" spans="2:12" x14ac:dyDescent="0.35">
      <c r="B250" s="2" t="s">
        <v>569</v>
      </c>
      <c r="C250" s="3">
        <v>100000339716</v>
      </c>
      <c r="D250" s="4">
        <v>54460</v>
      </c>
      <c r="E250" s="16">
        <v>4007249544605</v>
      </c>
      <c r="F250" s="2" t="s">
        <v>575</v>
      </c>
      <c r="G250" s="2" t="s">
        <v>637</v>
      </c>
      <c r="H250" s="6" t="s">
        <v>275</v>
      </c>
      <c r="I250" s="12">
        <f t="shared" si="12"/>
        <v>49.142857142857139</v>
      </c>
      <c r="J250" s="13">
        <f t="shared" si="11"/>
        <v>122.85714285714285</v>
      </c>
      <c r="K250" s="7">
        <v>129</v>
      </c>
      <c r="L250" s="11">
        <f t="shared" si="13"/>
        <v>0.6</v>
      </c>
    </row>
    <row r="251" spans="2:12" x14ac:dyDescent="0.35">
      <c r="B251" s="2" t="s">
        <v>569</v>
      </c>
      <c r="C251" s="3">
        <v>100000307882</v>
      </c>
      <c r="D251" s="4">
        <v>135717</v>
      </c>
      <c r="E251" s="16">
        <v>4047443365248</v>
      </c>
      <c r="F251" s="2" t="s">
        <v>575</v>
      </c>
      <c r="G251" s="2" t="s">
        <v>637</v>
      </c>
      <c r="H251" s="6" t="s">
        <v>276</v>
      </c>
      <c r="I251" s="12">
        <f t="shared" si="12"/>
        <v>18.666666666666668</v>
      </c>
      <c r="J251" s="13">
        <f t="shared" si="11"/>
        <v>46.666666666666664</v>
      </c>
      <c r="K251" s="7">
        <v>49</v>
      </c>
      <c r="L251" s="11">
        <f t="shared" si="13"/>
        <v>0.6</v>
      </c>
    </row>
    <row r="252" spans="2:12" x14ac:dyDescent="0.35">
      <c r="B252" s="2" t="s">
        <v>569</v>
      </c>
      <c r="C252" s="3">
        <v>100000342326</v>
      </c>
      <c r="D252" s="4">
        <v>181018</v>
      </c>
      <c r="E252" s="16">
        <v>4047443361684</v>
      </c>
      <c r="F252" s="2" t="s">
        <v>575</v>
      </c>
      <c r="G252" s="2" t="s">
        <v>637</v>
      </c>
      <c r="H252" s="6" t="s">
        <v>277</v>
      </c>
      <c r="I252" s="12">
        <f t="shared" si="12"/>
        <v>37.714285714285715</v>
      </c>
      <c r="J252" s="13">
        <f t="shared" si="11"/>
        <v>94.285714285714278</v>
      </c>
      <c r="K252" s="7">
        <v>99</v>
      </c>
      <c r="L252" s="11">
        <f t="shared" si="13"/>
        <v>0.6</v>
      </c>
    </row>
    <row r="253" spans="2:12" x14ac:dyDescent="0.35">
      <c r="B253" s="2" t="s">
        <v>569</v>
      </c>
      <c r="C253" s="3">
        <v>100000342327</v>
      </c>
      <c r="D253" s="4">
        <v>183333</v>
      </c>
      <c r="E253" s="16">
        <v>4047443412508</v>
      </c>
      <c r="F253" s="2" t="s">
        <v>575</v>
      </c>
      <c r="G253" s="2" t="s">
        <v>637</v>
      </c>
      <c r="H253" s="6" t="s">
        <v>278</v>
      </c>
      <c r="I253" s="12">
        <f t="shared" si="12"/>
        <v>14.857142857142856</v>
      </c>
      <c r="J253" s="13">
        <f t="shared" si="11"/>
        <v>37.142857142857139</v>
      </c>
      <c r="K253" s="7">
        <v>39</v>
      </c>
      <c r="L253" s="11">
        <f t="shared" si="13"/>
        <v>0.60000000000000009</v>
      </c>
    </row>
    <row r="254" spans="2:12" x14ac:dyDescent="0.35">
      <c r="B254" s="2" t="s">
        <v>569</v>
      </c>
      <c r="C254" s="3">
        <v>100000342275</v>
      </c>
      <c r="D254" s="4">
        <v>200313</v>
      </c>
      <c r="E254" s="16">
        <v>4047443437143</v>
      </c>
      <c r="F254" s="2" t="s">
        <v>575</v>
      </c>
      <c r="G254" s="2" t="s">
        <v>637</v>
      </c>
      <c r="H254" s="6" t="s">
        <v>279</v>
      </c>
      <c r="I254" s="12">
        <f t="shared" si="12"/>
        <v>49.142857142857139</v>
      </c>
      <c r="J254" s="13">
        <f t="shared" si="11"/>
        <v>122.85714285714285</v>
      </c>
      <c r="K254" s="7">
        <v>129</v>
      </c>
      <c r="L254" s="11">
        <f t="shared" si="13"/>
        <v>0.6</v>
      </c>
    </row>
    <row r="255" spans="2:12" x14ac:dyDescent="0.35">
      <c r="B255" s="2" t="s">
        <v>569</v>
      </c>
      <c r="C255" s="3">
        <v>100000342276</v>
      </c>
      <c r="D255" s="4">
        <v>200318</v>
      </c>
      <c r="E255" s="16">
        <v>4047443437198</v>
      </c>
      <c r="F255" s="2" t="s">
        <v>575</v>
      </c>
      <c r="G255" s="2" t="s">
        <v>637</v>
      </c>
      <c r="H255" s="6" t="s">
        <v>280</v>
      </c>
      <c r="I255" s="12">
        <f t="shared" si="12"/>
        <v>18.666666666666668</v>
      </c>
      <c r="J255" s="13">
        <f t="shared" si="11"/>
        <v>46.666666666666664</v>
      </c>
      <c r="K255" s="7">
        <v>49</v>
      </c>
      <c r="L255" s="11">
        <f t="shared" si="13"/>
        <v>0.6</v>
      </c>
    </row>
    <row r="256" spans="2:12" x14ac:dyDescent="0.35">
      <c r="B256" s="2" t="s">
        <v>569</v>
      </c>
      <c r="C256" s="3">
        <v>100000342277</v>
      </c>
      <c r="D256" s="4">
        <v>200319</v>
      </c>
      <c r="E256" s="16">
        <v>4047443437204</v>
      </c>
      <c r="F256" s="2" t="s">
        <v>575</v>
      </c>
      <c r="G256" s="2" t="s">
        <v>637</v>
      </c>
      <c r="H256" s="6" t="s">
        <v>281</v>
      </c>
      <c r="I256" s="12">
        <f t="shared" si="12"/>
        <v>41.523809523809526</v>
      </c>
      <c r="J256" s="13">
        <f t="shared" si="11"/>
        <v>103.80952380952381</v>
      </c>
      <c r="K256" s="7">
        <v>109</v>
      </c>
      <c r="L256" s="11">
        <f t="shared" si="13"/>
        <v>0.6</v>
      </c>
    </row>
    <row r="257" spans="2:12" x14ac:dyDescent="0.35">
      <c r="B257" s="2" t="s">
        <v>569</v>
      </c>
      <c r="C257" s="3">
        <v>100000342278</v>
      </c>
      <c r="D257" s="4">
        <v>200330</v>
      </c>
      <c r="E257" s="16">
        <v>4047443437327</v>
      </c>
      <c r="F257" s="2" t="s">
        <v>575</v>
      </c>
      <c r="G257" s="2" t="s">
        <v>637</v>
      </c>
      <c r="H257" s="6" t="s">
        <v>282</v>
      </c>
      <c r="I257" s="12">
        <f t="shared" si="12"/>
        <v>64.38095238095238</v>
      </c>
      <c r="J257" s="13">
        <f t="shared" si="11"/>
        <v>160.95238095238093</v>
      </c>
      <c r="K257" s="7">
        <v>169</v>
      </c>
      <c r="L257" s="11">
        <f t="shared" si="13"/>
        <v>0.6</v>
      </c>
    </row>
    <row r="258" spans="2:12" x14ac:dyDescent="0.35">
      <c r="B258" s="2" t="s">
        <v>569</v>
      </c>
      <c r="C258" s="3">
        <v>100000342279</v>
      </c>
      <c r="D258" s="4">
        <v>200334</v>
      </c>
      <c r="E258" s="16">
        <v>4047443437365</v>
      </c>
      <c r="F258" s="2" t="s">
        <v>575</v>
      </c>
      <c r="G258" s="2" t="s">
        <v>637</v>
      </c>
      <c r="H258" s="6" t="s">
        <v>283</v>
      </c>
      <c r="I258" s="12">
        <f t="shared" si="12"/>
        <v>64.38095238095238</v>
      </c>
      <c r="J258" s="13">
        <f t="shared" si="11"/>
        <v>160.95238095238093</v>
      </c>
      <c r="K258" s="7">
        <v>169</v>
      </c>
      <c r="L258" s="11">
        <f t="shared" si="13"/>
        <v>0.6</v>
      </c>
    </row>
    <row r="259" spans="2:12" x14ac:dyDescent="0.35">
      <c r="B259" s="2" t="s">
        <v>569</v>
      </c>
      <c r="C259" s="3">
        <v>100000342280</v>
      </c>
      <c r="D259" s="4">
        <v>200337</v>
      </c>
      <c r="E259" s="16">
        <v>4047443437396</v>
      </c>
      <c r="F259" s="2" t="s">
        <v>575</v>
      </c>
      <c r="G259" s="2" t="s">
        <v>637</v>
      </c>
      <c r="H259" s="6" t="s">
        <v>284</v>
      </c>
      <c r="I259" s="12">
        <f t="shared" si="12"/>
        <v>33.904761904761905</v>
      </c>
      <c r="J259" s="13">
        <f t="shared" ref="J259:J322" si="14">K259/(1+5%)</f>
        <v>84.761904761904759</v>
      </c>
      <c r="K259" s="7">
        <v>89</v>
      </c>
      <c r="L259" s="11">
        <f t="shared" si="13"/>
        <v>0.6</v>
      </c>
    </row>
    <row r="260" spans="2:12" x14ac:dyDescent="0.35">
      <c r="B260" s="2" t="s">
        <v>569</v>
      </c>
      <c r="C260" s="3">
        <v>100000342281</v>
      </c>
      <c r="D260" s="4">
        <v>200306</v>
      </c>
      <c r="E260" s="16">
        <v>4047443437075</v>
      </c>
      <c r="F260" s="2" t="s">
        <v>575</v>
      </c>
      <c r="G260" s="2" t="s">
        <v>637</v>
      </c>
      <c r="H260" s="6" t="s">
        <v>285</v>
      </c>
      <c r="I260" s="12">
        <f t="shared" si="12"/>
        <v>113.90476190476191</v>
      </c>
      <c r="J260" s="13">
        <f t="shared" si="14"/>
        <v>284.76190476190476</v>
      </c>
      <c r="K260" s="7">
        <v>299</v>
      </c>
      <c r="L260" s="11">
        <f t="shared" si="13"/>
        <v>0.59999999999999987</v>
      </c>
    </row>
    <row r="261" spans="2:12" x14ac:dyDescent="0.35">
      <c r="B261" s="2" t="s">
        <v>569</v>
      </c>
      <c r="C261" s="3">
        <v>100000342283</v>
      </c>
      <c r="D261" s="4">
        <v>200107</v>
      </c>
      <c r="E261" s="16">
        <v>4047443436795</v>
      </c>
      <c r="F261" s="2" t="s">
        <v>575</v>
      </c>
      <c r="G261" s="2" t="s">
        <v>637</v>
      </c>
      <c r="H261" s="6" t="s">
        <v>286</v>
      </c>
      <c r="I261" s="12">
        <f t="shared" si="12"/>
        <v>64.38095238095238</v>
      </c>
      <c r="J261" s="13">
        <f t="shared" si="14"/>
        <v>160.95238095238093</v>
      </c>
      <c r="K261" s="7">
        <v>169</v>
      </c>
      <c r="L261" s="11">
        <f t="shared" si="13"/>
        <v>0.6</v>
      </c>
    </row>
    <row r="262" spans="2:12" x14ac:dyDescent="0.35">
      <c r="B262" s="2" t="s">
        <v>569</v>
      </c>
      <c r="C262" s="3">
        <v>100000342284</v>
      </c>
      <c r="D262" s="4">
        <v>200103</v>
      </c>
      <c r="E262" s="16">
        <v>4047443436757</v>
      </c>
      <c r="F262" s="2" t="s">
        <v>575</v>
      </c>
      <c r="G262" s="2" t="s">
        <v>637</v>
      </c>
      <c r="H262" s="6" t="s">
        <v>287</v>
      </c>
      <c r="I262" s="12">
        <f t="shared" si="12"/>
        <v>178.66666666666666</v>
      </c>
      <c r="J262" s="13">
        <f t="shared" si="14"/>
        <v>446.66666666666663</v>
      </c>
      <c r="K262" s="7">
        <v>469</v>
      </c>
      <c r="L262" s="11">
        <f t="shared" si="13"/>
        <v>0.60000000000000009</v>
      </c>
    </row>
    <row r="263" spans="2:12" x14ac:dyDescent="0.35">
      <c r="B263" s="2" t="s">
        <v>569</v>
      </c>
      <c r="C263" s="3">
        <v>100000342285</v>
      </c>
      <c r="D263" s="4">
        <v>200113</v>
      </c>
      <c r="E263" s="16">
        <v>4047443436856</v>
      </c>
      <c r="F263" s="2" t="s">
        <v>575</v>
      </c>
      <c r="G263" s="2" t="s">
        <v>637</v>
      </c>
      <c r="H263" s="6" t="s">
        <v>288</v>
      </c>
      <c r="I263" s="12">
        <f t="shared" si="12"/>
        <v>56.761904761904759</v>
      </c>
      <c r="J263" s="13">
        <f t="shared" si="14"/>
        <v>141.9047619047619</v>
      </c>
      <c r="K263" s="7">
        <v>149</v>
      </c>
      <c r="L263" s="11">
        <f t="shared" si="13"/>
        <v>0.6</v>
      </c>
    </row>
    <row r="264" spans="2:12" x14ac:dyDescent="0.35">
      <c r="B264" s="2" t="s">
        <v>569</v>
      </c>
      <c r="C264" s="3">
        <v>100000342286</v>
      </c>
      <c r="D264" s="4">
        <v>200348</v>
      </c>
      <c r="E264" s="16">
        <v>4047443437501</v>
      </c>
      <c r="F264" s="2" t="s">
        <v>575</v>
      </c>
      <c r="G264" s="2" t="s">
        <v>637</v>
      </c>
      <c r="H264" s="6" t="s">
        <v>289</v>
      </c>
      <c r="I264" s="12">
        <f t="shared" si="12"/>
        <v>11.047619047619047</v>
      </c>
      <c r="J264" s="13">
        <f t="shared" si="14"/>
        <v>27.619047619047617</v>
      </c>
      <c r="K264" s="7">
        <v>29</v>
      </c>
      <c r="L264" s="11">
        <f t="shared" si="13"/>
        <v>0.6</v>
      </c>
    </row>
    <row r="265" spans="2:12" x14ac:dyDescent="0.35">
      <c r="B265" s="2" t="s">
        <v>569</v>
      </c>
      <c r="C265" s="3">
        <v>100000342287</v>
      </c>
      <c r="D265" s="4">
        <v>200347</v>
      </c>
      <c r="E265" s="16">
        <v>4047443437495</v>
      </c>
      <c r="F265" s="2" t="s">
        <v>575</v>
      </c>
      <c r="G265" s="2" t="s">
        <v>637</v>
      </c>
      <c r="H265" s="6" t="s">
        <v>290</v>
      </c>
      <c r="I265" s="12">
        <f t="shared" si="12"/>
        <v>11.047619047619047</v>
      </c>
      <c r="J265" s="13">
        <f t="shared" si="14"/>
        <v>27.619047619047617</v>
      </c>
      <c r="K265" s="7">
        <v>29</v>
      </c>
      <c r="L265" s="11">
        <f t="shared" si="13"/>
        <v>0.6</v>
      </c>
    </row>
    <row r="266" spans="2:12" x14ac:dyDescent="0.35">
      <c r="B266" s="2" t="s">
        <v>569</v>
      </c>
      <c r="C266" s="3">
        <v>100000342288</v>
      </c>
      <c r="D266" s="4">
        <v>200343</v>
      </c>
      <c r="E266" s="16">
        <v>4047443437457</v>
      </c>
      <c r="F266" s="2" t="s">
        <v>575</v>
      </c>
      <c r="G266" s="2" t="s">
        <v>637</v>
      </c>
      <c r="H266" s="6" t="s">
        <v>291</v>
      </c>
      <c r="I266" s="12">
        <f t="shared" si="12"/>
        <v>37.714285714285715</v>
      </c>
      <c r="J266" s="13">
        <f t="shared" si="14"/>
        <v>94.285714285714278</v>
      </c>
      <c r="K266" s="7">
        <v>99</v>
      </c>
      <c r="L266" s="11">
        <f t="shared" si="13"/>
        <v>0.6</v>
      </c>
    </row>
    <row r="267" spans="2:12" x14ac:dyDescent="0.35">
      <c r="B267" s="2" t="s">
        <v>569</v>
      </c>
      <c r="C267" s="3">
        <v>100000342289</v>
      </c>
      <c r="D267" s="4">
        <v>200649</v>
      </c>
      <c r="E267" s="16">
        <v>4047443443946</v>
      </c>
      <c r="F267" s="2" t="s">
        <v>575</v>
      </c>
      <c r="G267" s="2" t="s">
        <v>637</v>
      </c>
      <c r="H267" s="6" t="s">
        <v>292</v>
      </c>
      <c r="I267" s="12">
        <f t="shared" si="12"/>
        <v>33.904761904761905</v>
      </c>
      <c r="J267" s="13">
        <f t="shared" si="14"/>
        <v>84.761904761904759</v>
      </c>
      <c r="K267" s="7">
        <v>89</v>
      </c>
      <c r="L267" s="11">
        <f t="shared" si="13"/>
        <v>0.6</v>
      </c>
    </row>
    <row r="268" spans="2:12" x14ac:dyDescent="0.35">
      <c r="B268" s="2" t="s">
        <v>569</v>
      </c>
      <c r="C268" s="3">
        <v>100000342290</v>
      </c>
      <c r="D268" s="4">
        <v>200656</v>
      </c>
      <c r="E268" s="16">
        <v>4047443444011</v>
      </c>
      <c r="F268" s="2" t="s">
        <v>575</v>
      </c>
      <c r="G268" s="2" t="s">
        <v>637</v>
      </c>
      <c r="H268" s="6" t="s">
        <v>293</v>
      </c>
      <c r="I268" s="12">
        <f t="shared" si="12"/>
        <v>37.714285714285715</v>
      </c>
      <c r="J268" s="13">
        <f t="shared" si="14"/>
        <v>94.285714285714278</v>
      </c>
      <c r="K268" s="7">
        <v>99</v>
      </c>
      <c r="L268" s="11">
        <f t="shared" si="13"/>
        <v>0.6</v>
      </c>
    </row>
    <row r="269" spans="2:12" x14ac:dyDescent="0.35">
      <c r="B269" s="2" t="s">
        <v>569</v>
      </c>
      <c r="C269" s="3">
        <v>100000342291</v>
      </c>
      <c r="D269" s="4">
        <v>200315</v>
      </c>
      <c r="E269" s="16">
        <v>4047443437167</v>
      </c>
      <c r="F269" s="2" t="s">
        <v>575</v>
      </c>
      <c r="G269" s="2" t="s">
        <v>637</v>
      </c>
      <c r="H269" s="6" t="s">
        <v>294</v>
      </c>
      <c r="I269" s="12">
        <f t="shared" si="12"/>
        <v>41.523809523809526</v>
      </c>
      <c r="J269" s="13">
        <f t="shared" si="14"/>
        <v>103.80952380952381</v>
      </c>
      <c r="K269" s="7">
        <v>109</v>
      </c>
      <c r="L269" s="11">
        <f t="shared" si="13"/>
        <v>0.6</v>
      </c>
    </row>
    <row r="270" spans="2:12" x14ac:dyDescent="0.35">
      <c r="B270" s="2" t="s">
        <v>569</v>
      </c>
      <c r="C270" s="3">
        <v>100000342292</v>
      </c>
      <c r="D270" s="4">
        <v>200653</v>
      </c>
      <c r="E270" s="16">
        <v>4047443443984</v>
      </c>
      <c r="F270" s="2" t="s">
        <v>575</v>
      </c>
      <c r="G270" s="2" t="s">
        <v>637</v>
      </c>
      <c r="H270" s="6" t="s">
        <v>295</v>
      </c>
      <c r="I270" s="12">
        <f t="shared" si="12"/>
        <v>26.285714285714285</v>
      </c>
      <c r="J270" s="13">
        <f t="shared" si="14"/>
        <v>65.714285714285708</v>
      </c>
      <c r="K270" s="7">
        <v>69</v>
      </c>
      <c r="L270" s="11">
        <f t="shared" si="13"/>
        <v>0.6</v>
      </c>
    </row>
    <row r="271" spans="2:12" x14ac:dyDescent="0.35">
      <c r="B271" s="2" t="s">
        <v>569</v>
      </c>
      <c r="C271" s="3">
        <v>100000342293</v>
      </c>
      <c r="D271" s="4">
        <v>200694</v>
      </c>
      <c r="E271" s="16">
        <v>4047443444493</v>
      </c>
      <c r="F271" s="2" t="s">
        <v>575</v>
      </c>
      <c r="G271" s="2" t="s">
        <v>637</v>
      </c>
      <c r="H271" s="6" t="s">
        <v>296</v>
      </c>
      <c r="I271" s="12">
        <f t="shared" si="12"/>
        <v>33.904761904761905</v>
      </c>
      <c r="J271" s="13">
        <f t="shared" si="14"/>
        <v>84.761904761904759</v>
      </c>
      <c r="K271" s="7">
        <v>89</v>
      </c>
      <c r="L271" s="11">
        <f t="shared" si="13"/>
        <v>0.6</v>
      </c>
    </row>
    <row r="272" spans="2:12" x14ac:dyDescent="0.35">
      <c r="B272" s="2" t="s">
        <v>569</v>
      </c>
      <c r="C272" s="3">
        <v>100000342294</v>
      </c>
      <c r="D272" s="4">
        <v>200652</v>
      </c>
      <c r="E272" s="16">
        <v>4047443443977</v>
      </c>
      <c r="F272" s="2" t="s">
        <v>575</v>
      </c>
      <c r="G272" s="2" t="s">
        <v>637</v>
      </c>
      <c r="H272" s="6" t="s">
        <v>297</v>
      </c>
      <c r="I272" s="12">
        <f t="shared" si="12"/>
        <v>18.666666666666668</v>
      </c>
      <c r="J272" s="13">
        <f t="shared" si="14"/>
        <v>46.666666666666664</v>
      </c>
      <c r="K272" s="7">
        <v>49</v>
      </c>
      <c r="L272" s="11">
        <f t="shared" si="13"/>
        <v>0.6</v>
      </c>
    </row>
    <row r="273" spans="2:12" x14ac:dyDescent="0.35">
      <c r="B273" s="2" t="s">
        <v>569</v>
      </c>
      <c r="C273" s="3">
        <v>100000342295</v>
      </c>
      <c r="D273" s="4">
        <v>200111</v>
      </c>
      <c r="E273" s="16">
        <v>4047443451507</v>
      </c>
      <c r="F273" s="2" t="s">
        <v>575</v>
      </c>
      <c r="G273" s="2" t="s">
        <v>637</v>
      </c>
      <c r="H273" s="6" t="s">
        <v>298</v>
      </c>
      <c r="I273" s="12">
        <f t="shared" si="12"/>
        <v>132.95238095238093</v>
      </c>
      <c r="J273" s="13">
        <f t="shared" si="14"/>
        <v>332.38095238095235</v>
      </c>
      <c r="K273" s="7">
        <v>349</v>
      </c>
      <c r="L273" s="11">
        <f t="shared" si="13"/>
        <v>0.6</v>
      </c>
    </row>
    <row r="274" spans="2:12" x14ac:dyDescent="0.35">
      <c r="B274" s="2" t="s">
        <v>569</v>
      </c>
      <c r="C274" s="3">
        <v>100000342296</v>
      </c>
      <c r="D274" s="4">
        <v>200332</v>
      </c>
      <c r="E274" s="16">
        <v>4047443437341</v>
      </c>
      <c r="F274" s="2" t="s">
        <v>575</v>
      </c>
      <c r="G274" s="2" t="s">
        <v>637</v>
      </c>
      <c r="H274" s="6" t="s">
        <v>299</v>
      </c>
      <c r="I274" s="12">
        <f t="shared" si="12"/>
        <v>30.095238095238098</v>
      </c>
      <c r="J274" s="13">
        <f t="shared" si="14"/>
        <v>75.238095238095241</v>
      </c>
      <c r="K274" s="7">
        <v>79</v>
      </c>
      <c r="L274" s="11">
        <f t="shared" si="13"/>
        <v>0.6</v>
      </c>
    </row>
    <row r="275" spans="2:12" x14ac:dyDescent="0.35">
      <c r="B275" s="2" t="s">
        <v>569</v>
      </c>
      <c r="C275" s="3">
        <v>100000342297</v>
      </c>
      <c r="D275" s="4">
        <v>200335</v>
      </c>
      <c r="E275" s="16">
        <v>4047443437372</v>
      </c>
      <c r="F275" s="2" t="s">
        <v>575</v>
      </c>
      <c r="G275" s="2" t="s">
        <v>637</v>
      </c>
      <c r="H275" s="6" t="s">
        <v>300</v>
      </c>
      <c r="I275" s="12">
        <f t="shared" si="12"/>
        <v>33.904761904761905</v>
      </c>
      <c r="J275" s="13">
        <f t="shared" si="14"/>
        <v>84.761904761904759</v>
      </c>
      <c r="K275" s="7">
        <v>89</v>
      </c>
      <c r="L275" s="11">
        <f t="shared" si="13"/>
        <v>0.6</v>
      </c>
    </row>
    <row r="276" spans="2:12" x14ac:dyDescent="0.35">
      <c r="B276" s="2" t="s">
        <v>569</v>
      </c>
      <c r="C276" s="3">
        <v>100000342298</v>
      </c>
      <c r="D276" s="4">
        <v>200331</v>
      </c>
      <c r="E276" s="16">
        <v>4047443437334</v>
      </c>
      <c r="F276" s="2" t="s">
        <v>575</v>
      </c>
      <c r="G276" s="2" t="s">
        <v>637</v>
      </c>
      <c r="H276" s="6" t="s">
        <v>301</v>
      </c>
      <c r="I276" s="12">
        <f t="shared" si="12"/>
        <v>26.285714285714285</v>
      </c>
      <c r="J276" s="13">
        <f t="shared" si="14"/>
        <v>65.714285714285708</v>
      </c>
      <c r="K276" s="7">
        <v>69</v>
      </c>
      <c r="L276" s="11">
        <f t="shared" si="13"/>
        <v>0.6</v>
      </c>
    </row>
    <row r="277" spans="2:12" x14ac:dyDescent="0.35">
      <c r="B277" s="2" t="s">
        <v>569</v>
      </c>
      <c r="C277" s="3">
        <v>100000342299</v>
      </c>
      <c r="D277" s="4">
        <v>200693</v>
      </c>
      <c r="E277" s="16">
        <v>4047443444486</v>
      </c>
      <c r="F277" s="2" t="s">
        <v>575</v>
      </c>
      <c r="G277" s="2" t="s">
        <v>637</v>
      </c>
      <c r="H277" s="6" t="s">
        <v>302</v>
      </c>
      <c r="I277" s="12">
        <f t="shared" si="12"/>
        <v>26.285714285714285</v>
      </c>
      <c r="J277" s="13">
        <f t="shared" si="14"/>
        <v>65.714285714285708</v>
      </c>
      <c r="K277" s="7">
        <v>69</v>
      </c>
      <c r="L277" s="11">
        <f t="shared" si="13"/>
        <v>0.6</v>
      </c>
    </row>
    <row r="278" spans="2:12" x14ac:dyDescent="0.35">
      <c r="B278" s="2" t="s">
        <v>569</v>
      </c>
      <c r="C278" s="3">
        <v>100000342300</v>
      </c>
      <c r="D278" s="4">
        <v>200692</v>
      </c>
      <c r="E278" s="16">
        <v>4047443444479</v>
      </c>
      <c r="F278" s="2" t="s">
        <v>575</v>
      </c>
      <c r="G278" s="2" t="s">
        <v>637</v>
      </c>
      <c r="H278" s="6" t="s">
        <v>303</v>
      </c>
      <c r="I278" s="12">
        <f t="shared" si="12"/>
        <v>18.666666666666668</v>
      </c>
      <c r="J278" s="13">
        <f t="shared" si="14"/>
        <v>46.666666666666664</v>
      </c>
      <c r="K278" s="7">
        <v>49</v>
      </c>
      <c r="L278" s="11">
        <f t="shared" si="13"/>
        <v>0.6</v>
      </c>
    </row>
    <row r="279" spans="2:12" x14ac:dyDescent="0.35">
      <c r="B279" s="2" t="s">
        <v>569</v>
      </c>
      <c r="C279" s="3">
        <v>100000342301</v>
      </c>
      <c r="D279" s="4">
        <v>200110</v>
      </c>
      <c r="E279" s="16">
        <v>4047443436832</v>
      </c>
      <c r="F279" s="2" t="s">
        <v>575</v>
      </c>
      <c r="G279" s="2" t="s">
        <v>637</v>
      </c>
      <c r="H279" s="6" t="s">
        <v>304</v>
      </c>
      <c r="I279" s="12">
        <f t="shared" si="12"/>
        <v>94.857142857142861</v>
      </c>
      <c r="J279" s="13">
        <f t="shared" si="14"/>
        <v>237.14285714285714</v>
      </c>
      <c r="K279" s="7">
        <v>249</v>
      </c>
      <c r="L279" s="11">
        <f t="shared" si="13"/>
        <v>0.6</v>
      </c>
    </row>
    <row r="280" spans="2:12" x14ac:dyDescent="0.35">
      <c r="B280" s="2" t="s">
        <v>569</v>
      </c>
      <c r="C280" s="3">
        <v>100000342302</v>
      </c>
      <c r="D280" s="4">
        <v>200674</v>
      </c>
      <c r="E280" s="16">
        <v>4047443444271</v>
      </c>
      <c r="F280" s="2" t="s">
        <v>575</v>
      </c>
      <c r="G280" s="2" t="s">
        <v>637</v>
      </c>
      <c r="H280" s="6" t="s">
        <v>305</v>
      </c>
      <c r="I280" s="12">
        <f t="shared" si="12"/>
        <v>7.2380952380952381</v>
      </c>
      <c r="J280" s="13">
        <f t="shared" si="14"/>
        <v>18.095238095238095</v>
      </c>
      <c r="K280" s="7">
        <v>19</v>
      </c>
      <c r="L280" s="11">
        <f t="shared" si="13"/>
        <v>0.60000000000000009</v>
      </c>
    </row>
    <row r="281" spans="2:12" x14ac:dyDescent="0.35">
      <c r="B281" s="2" t="s">
        <v>569</v>
      </c>
      <c r="C281" s="3">
        <v>100000342303</v>
      </c>
      <c r="D281" s="4">
        <v>200675</v>
      </c>
      <c r="E281" s="16">
        <v>4047443444318</v>
      </c>
      <c r="F281" s="2" t="s">
        <v>575</v>
      </c>
      <c r="G281" s="2" t="s">
        <v>637</v>
      </c>
      <c r="H281" s="6" t="s">
        <v>306</v>
      </c>
      <c r="I281" s="12">
        <f t="shared" si="12"/>
        <v>9.5238095238095237</v>
      </c>
      <c r="J281" s="13">
        <f t="shared" si="14"/>
        <v>23.80952380952381</v>
      </c>
      <c r="K281" s="7">
        <v>25</v>
      </c>
      <c r="L281" s="11">
        <f t="shared" si="13"/>
        <v>0.6</v>
      </c>
    </row>
    <row r="282" spans="2:12" x14ac:dyDescent="0.35">
      <c r="B282" s="2" t="s">
        <v>569</v>
      </c>
      <c r="C282" s="3">
        <v>100000342304</v>
      </c>
      <c r="D282" s="4">
        <v>200676</v>
      </c>
      <c r="E282" s="16">
        <v>4047443444325</v>
      </c>
      <c r="F282" s="2" t="s">
        <v>575</v>
      </c>
      <c r="G282" s="2" t="s">
        <v>637</v>
      </c>
      <c r="H282" s="6" t="s">
        <v>307</v>
      </c>
      <c r="I282" s="12">
        <f t="shared" si="12"/>
        <v>13.333333333333332</v>
      </c>
      <c r="J282" s="13">
        <f t="shared" si="14"/>
        <v>33.333333333333329</v>
      </c>
      <c r="K282" s="7">
        <v>35</v>
      </c>
      <c r="L282" s="11">
        <f t="shared" si="13"/>
        <v>0.6</v>
      </c>
    </row>
    <row r="283" spans="2:12" x14ac:dyDescent="0.35">
      <c r="B283" s="2" t="s">
        <v>569</v>
      </c>
      <c r="C283" s="3">
        <v>100000342305</v>
      </c>
      <c r="D283" s="4">
        <v>200677</v>
      </c>
      <c r="E283" s="16">
        <v>4047443444332</v>
      </c>
      <c r="F283" s="2" t="s">
        <v>575</v>
      </c>
      <c r="G283" s="2" t="s">
        <v>637</v>
      </c>
      <c r="H283" s="6" t="s">
        <v>308</v>
      </c>
      <c r="I283" s="12">
        <f t="shared" si="12"/>
        <v>22.476190476190478</v>
      </c>
      <c r="J283" s="13">
        <f t="shared" si="14"/>
        <v>56.19047619047619</v>
      </c>
      <c r="K283" s="7">
        <v>59</v>
      </c>
      <c r="L283" s="11">
        <f t="shared" si="13"/>
        <v>0.59999999999999987</v>
      </c>
    </row>
    <row r="284" spans="2:12" x14ac:dyDescent="0.35">
      <c r="B284" s="2" t="s">
        <v>569</v>
      </c>
      <c r="C284" s="3">
        <v>100000342306</v>
      </c>
      <c r="D284" s="4">
        <v>200109</v>
      </c>
      <c r="E284" s="16">
        <v>4047443436818</v>
      </c>
      <c r="F284" s="2" t="s">
        <v>575</v>
      </c>
      <c r="G284" s="2" t="s">
        <v>637</v>
      </c>
      <c r="H284" s="6" t="s">
        <v>309</v>
      </c>
      <c r="I284" s="12">
        <f t="shared" si="12"/>
        <v>94.857142857142861</v>
      </c>
      <c r="J284" s="13">
        <f t="shared" si="14"/>
        <v>237.14285714285714</v>
      </c>
      <c r="K284" s="7">
        <v>249</v>
      </c>
      <c r="L284" s="11">
        <f t="shared" si="13"/>
        <v>0.6</v>
      </c>
    </row>
    <row r="285" spans="2:12" x14ac:dyDescent="0.35">
      <c r="B285" s="2" t="s">
        <v>569</v>
      </c>
      <c r="C285" s="3">
        <v>100000342307</v>
      </c>
      <c r="D285" s="4">
        <v>200101</v>
      </c>
      <c r="E285" s="16">
        <v>4047443433435</v>
      </c>
      <c r="F285" s="2" t="s">
        <v>575</v>
      </c>
      <c r="G285" s="2" t="s">
        <v>637</v>
      </c>
      <c r="H285" s="6" t="s">
        <v>310</v>
      </c>
      <c r="I285" s="12">
        <f t="shared" si="12"/>
        <v>37.714285714285715</v>
      </c>
      <c r="J285" s="13">
        <f t="shared" si="14"/>
        <v>94.285714285714278</v>
      </c>
      <c r="K285" s="7">
        <v>99</v>
      </c>
      <c r="L285" s="11">
        <f t="shared" si="13"/>
        <v>0.6</v>
      </c>
    </row>
    <row r="286" spans="2:12" x14ac:dyDescent="0.35">
      <c r="B286" s="2" t="s">
        <v>569</v>
      </c>
      <c r="C286" s="3">
        <v>100000342309</v>
      </c>
      <c r="D286" s="4">
        <v>200102</v>
      </c>
      <c r="E286" s="16">
        <v>4047443436740</v>
      </c>
      <c r="F286" s="2" t="s">
        <v>575</v>
      </c>
      <c r="G286" s="2" t="s">
        <v>637</v>
      </c>
      <c r="H286" s="6" t="s">
        <v>311</v>
      </c>
      <c r="I286" s="12">
        <f t="shared" si="12"/>
        <v>132.95238095238093</v>
      </c>
      <c r="J286" s="13">
        <f t="shared" si="14"/>
        <v>332.38095238095235</v>
      </c>
      <c r="K286" s="7">
        <v>349</v>
      </c>
      <c r="L286" s="11">
        <f t="shared" si="13"/>
        <v>0.6</v>
      </c>
    </row>
    <row r="287" spans="2:12" x14ac:dyDescent="0.35">
      <c r="B287" s="2" t="s">
        <v>569</v>
      </c>
      <c r="C287" s="3">
        <v>100000342310</v>
      </c>
      <c r="D287" s="4">
        <v>200105</v>
      </c>
      <c r="E287" s="16">
        <v>4047443436771</v>
      </c>
      <c r="F287" s="2" t="s">
        <v>575</v>
      </c>
      <c r="G287" s="2" t="s">
        <v>637</v>
      </c>
      <c r="H287" s="6" t="s">
        <v>312</v>
      </c>
      <c r="I287" s="12">
        <f t="shared" si="12"/>
        <v>60.571428571428569</v>
      </c>
      <c r="J287" s="13">
        <f t="shared" si="14"/>
        <v>151.42857142857142</v>
      </c>
      <c r="K287" s="7">
        <v>159</v>
      </c>
      <c r="L287" s="11">
        <f t="shared" si="13"/>
        <v>0.6</v>
      </c>
    </row>
    <row r="288" spans="2:12" x14ac:dyDescent="0.35">
      <c r="B288" s="2" t="s">
        <v>569</v>
      </c>
      <c r="C288" s="3">
        <v>100000342311</v>
      </c>
      <c r="D288" s="4">
        <v>200112</v>
      </c>
      <c r="E288" s="16">
        <v>4047443436849</v>
      </c>
      <c r="F288" s="2" t="s">
        <v>575</v>
      </c>
      <c r="G288" s="2" t="s">
        <v>637</v>
      </c>
      <c r="H288" s="6" t="s">
        <v>313</v>
      </c>
      <c r="I288" s="12">
        <f t="shared" si="12"/>
        <v>33.904761904761905</v>
      </c>
      <c r="J288" s="13">
        <f t="shared" si="14"/>
        <v>84.761904761904759</v>
      </c>
      <c r="K288" s="7">
        <v>89</v>
      </c>
      <c r="L288" s="11">
        <f t="shared" si="13"/>
        <v>0.6</v>
      </c>
    </row>
    <row r="289" spans="2:12" x14ac:dyDescent="0.35">
      <c r="B289" s="2" t="s">
        <v>569</v>
      </c>
      <c r="C289" s="3">
        <v>100000342312</v>
      </c>
      <c r="D289" s="4">
        <v>200116</v>
      </c>
      <c r="E289" s="16">
        <v>4047443436887</v>
      </c>
      <c r="F289" s="2" t="s">
        <v>575</v>
      </c>
      <c r="G289" s="2" t="s">
        <v>637</v>
      </c>
      <c r="H289" s="6" t="s">
        <v>314</v>
      </c>
      <c r="I289" s="12">
        <f t="shared" si="12"/>
        <v>33.904761904761905</v>
      </c>
      <c r="J289" s="13">
        <f t="shared" si="14"/>
        <v>84.761904761904759</v>
      </c>
      <c r="K289" s="7">
        <v>89</v>
      </c>
      <c r="L289" s="11">
        <f t="shared" si="13"/>
        <v>0.6</v>
      </c>
    </row>
    <row r="290" spans="2:12" x14ac:dyDescent="0.35">
      <c r="B290" s="2" t="s">
        <v>569</v>
      </c>
      <c r="C290" s="3">
        <v>100000342313</v>
      </c>
      <c r="D290" s="4">
        <v>200124</v>
      </c>
      <c r="E290" s="16">
        <v>4047443436955</v>
      </c>
      <c r="F290" s="2" t="s">
        <v>575</v>
      </c>
      <c r="G290" s="2" t="s">
        <v>637</v>
      </c>
      <c r="H290" s="6" t="s">
        <v>315</v>
      </c>
      <c r="I290" s="12">
        <f t="shared" si="12"/>
        <v>37.714285714285715</v>
      </c>
      <c r="J290" s="13">
        <f t="shared" si="14"/>
        <v>94.285714285714278</v>
      </c>
      <c r="K290" s="7">
        <v>99</v>
      </c>
      <c r="L290" s="11">
        <f t="shared" si="13"/>
        <v>0.6</v>
      </c>
    </row>
    <row r="291" spans="2:12" x14ac:dyDescent="0.35">
      <c r="B291" s="2" t="s">
        <v>569</v>
      </c>
      <c r="C291" s="3">
        <v>100000342314</v>
      </c>
      <c r="D291" s="4">
        <v>200322</v>
      </c>
      <c r="E291" s="16">
        <v>4047443437235</v>
      </c>
      <c r="F291" s="2" t="s">
        <v>575</v>
      </c>
      <c r="G291" s="2" t="s">
        <v>637</v>
      </c>
      <c r="H291" s="6" t="s">
        <v>316</v>
      </c>
      <c r="I291" s="12">
        <f t="shared" si="12"/>
        <v>49.142857142857139</v>
      </c>
      <c r="J291" s="13">
        <f t="shared" si="14"/>
        <v>122.85714285714285</v>
      </c>
      <c r="K291" s="7">
        <v>129</v>
      </c>
      <c r="L291" s="11">
        <f t="shared" si="13"/>
        <v>0.6</v>
      </c>
    </row>
    <row r="292" spans="2:12" x14ac:dyDescent="0.35">
      <c r="B292" s="2" t="s">
        <v>569</v>
      </c>
      <c r="C292" s="3">
        <v>100000342315</v>
      </c>
      <c r="D292" s="4">
        <v>200324</v>
      </c>
      <c r="E292" s="16">
        <v>4047443437259</v>
      </c>
      <c r="F292" s="2" t="s">
        <v>575</v>
      </c>
      <c r="G292" s="2" t="s">
        <v>637</v>
      </c>
      <c r="H292" s="6" t="s">
        <v>317</v>
      </c>
      <c r="I292" s="12">
        <f t="shared" si="12"/>
        <v>33.904761904761905</v>
      </c>
      <c r="J292" s="13">
        <f t="shared" si="14"/>
        <v>84.761904761904759</v>
      </c>
      <c r="K292" s="7">
        <v>89</v>
      </c>
      <c r="L292" s="11">
        <f t="shared" si="13"/>
        <v>0.6</v>
      </c>
    </row>
    <row r="293" spans="2:12" x14ac:dyDescent="0.35">
      <c r="B293" s="2" t="s">
        <v>569</v>
      </c>
      <c r="C293" s="3">
        <v>100000342316</v>
      </c>
      <c r="D293" s="4">
        <v>200333</v>
      </c>
      <c r="E293" s="16">
        <v>4047443437358</v>
      </c>
      <c r="F293" s="2" t="s">
        <v>575</v>
      </c>
      <c r="G293" s="2" t="s">
        <v>637</v>
      </c>
      <c r="H293" s="6" t="s">
        <v>318</v>
      </c>
      <c r="I293" s="12">
        <f t="shared" si="12"/>
        <v>33.904761904761905</v>
      </c>
      <c r="J293" s="13">
        <f t="shared" si="14"/>
        <v>84.761904761904759</v>
      </c>
      <c r="K293" s="7">
        <v>89</v>
      </c>
      <c r="L293" s="11">
        <f t="shared" si="13"/>
        <v>0.6</v>
      </c>
    </row>
    <row r="294" spans="2:12" x14ac:dyDescent="0.35">
      <c r="B294" s="2" t="s">
        <v>569</v>
      </c>
      <c r="C294" s="3">
        <v>100000342317</v>
      </c>
      <c r="D294" s="4">
        <v>200339</v>
      </c>
      <c r="E294" s="16">
        <v>4047443437419</v>
      </c>
      <c r="F294" s="2" t="s">
        <v>575</v>
      </c>
      <c r="G294" s="2" t="s">
        <v>637</v>
      </c>
      <c r="H294" s="6" t="s">
        <v>319</v>
      </c>
      <c r="I294" s="12">
        <f t="shared" si="12"/>
        <v>7.2380952380952381</v>
      </c>
      <c r="J294" s="13">
        <f t="shared" si="14"/>
        <v>18.095238095238095</v>
      </c>
      <c r="K294" s="7">
        <v>19</v>
      </c>
      <c r="L294" s="11">
        <f t="shared" si="13"/>
        <v>0.60000000000000009</v>
      </c>
    </row>
    <row r="295" spans="2:12" x14ac:dyDescent="0.35">
      <c r="B295" s="2" t="s">
        <v>569</v>
      </c>
      <c r="C295" s="3">
        <v>100000342318</v>
      </c>
      <c r="D295" s="4">
        <v>200344</v>
      </c>
      <c r="E295" s="16">
        <v>4047443437464</v>
      </c>
      <c r="F295" s="2" t="s">
        <v>575</v>
      </c>
      <c r="G295" s="2" t="s">
        <v>637</v>
      </c>
      <c r="H295" s="6" t="s">
        <v>320</v>
      </c>
      <c r="I295" s="12">
        <f t="shared" si="12"/>
        <v>17.142857142857142</v>
      </c>
      <c r="J295" s="13">
        <f t="shared" si="14"/>
        <v>42.857142857142854</v>
      </c>
      <c r="K295" s="7">
        <v>45</v>
      </c>
      <c r="L295" s="11">
        <f t="shared" si="13"/>
        <v>0.6</v>
      </c>
    </row>
    <row r="296" spans="2:12" x14ac:dyDescent="0.35">
      <c r="B296" s="2" t="s">
        <v>569</v>
      </c>
      <c r="C296" s="3">
        <v>100000342319</v>
      </c>
      <c r="D296" s="4">
        <v>200349</v>
      </c>
      <c r="E296" s="16">
        <v>4047443437518</v>
      </c>
      <c r="F296" s="2" t="s">
        <v>575</v>
      </c>
      <c r="G296" s="2" t="s">
        <v>637</v>
      </c>
      <c r="H296" s="6" t="s">
        <v>321</v>
      </c>
      <c r="I296" s="12">
        <f t="shared" si="12"/>
        <v>7.2380952380952381</v>
      </c>
      <c r="J296" s="13">
        <f t="shared" si="14"/>
        <v>18.095238095238095</v>
      </c>
      <c r="K296" s="7">
        <v>19</v>
      </c>
      <c r="L296" s="11">
        <f t="shared" si="13"/>
        <v>0.60000000000000009</v>
      </c>
    </row>
    <row r="297" spans="2:12" x14ac:dyDescent="0.35">
      <c r="B297" s="2" t="s">
        <v>569</v>
      </c>
      <c r="C297" s="3">
        <v>100000342320</v>
      </c>
      <c r="D297" s="4">
        <v>200685</v>
      </c>
      <c r="E297" s="16">
        <v>4047443444431</v>
      </c>
      <c r="F297" s="2" t="s">
        <v>575</v>
      </c>
      <c r="G297" s="2" t="s">
        <v>637</v>
      </c>
      <c r="H297" s="6" t="s">
        <v>322</v>
      </c>
      <c r="I297" s="12">
        <f t="shared" si="12"/>
        <v>11.047619047619047</v>
      </c>
      <c r="J297" s="13">
        <f t="shared" si="14"/>
        <v>27.619047619047617</v>
      </c>
      <c r="K297" s="7">
        <v>29</v>
      </c>
      <c r="L297" s="11">
        <f t="shared" si="13"/>
        <v>0.6</v>
      </c>
    </row>
    <row r="298" spans="2:12" x14ac:dyDescent="0.35">
      <c r="B298" s="2" t="s">
        <v>569</v>
      </c>
      <c r="C298" s="3">
        <v>100000342321</v>
      </c>
      <c r="D298" s="4">
        <v>200686</v>
      </c>
      <c r="E298" s="16">
        <v>4047443444448</v>
      </c>
      <c r="F298" s="2" t="s">
        <v>575</v>
      </c>
      <c r="G298" s="2" t="s">
        <v>637</v>
      </c>
      <c r="H298" s="6" t="s">
        <v>323</v>
      </c>
      <c r="I298" s="12">
        <f t="shared" ref="I298:I348" si="15">0.4*J298</f>
        <v>14.857142857142856</v>
      </c>
      <c r="J298" s="13">
        <f t="shared" si="14"/>
        <v>37.142857142857139</v>
      </c>
      <c r="K298" s="7">
        <v>39</v>
      </c>
      <c r="L298" s="11">
        <f t="shared" ref="L298:L348" si="16">(J298-I298)/J298</f>
        <v>0.60000000000000009</v>
      </c>
    </row>
    <row r="299" spans="2:12" x14ac:dyDescent="0.35">
      <c r="B299" s="2" t="s">
        <v>569</v>
      </c>
      <c r="C299" s="3">
        <v>100000342322</v>
      </c>
      <c r="D299" s="4">
        <v>200687</v>
      </c>
      <c r="E299" s="16">
        <v>4047443444455</v>
      </c>
      <c r="F299" s="2" t="s">
        <v>575</v>
      </c>
      <c r="G299" s="2" t="s">
        <v>637</v>
      </c>
      <c r="H299" s="6" t="s">
        <v>324</v>
      </c>
      <c r="I299" s="12">
        <f t="shared" si="15"/>
        <v>18.666666666666668</v>
      </c>
      <c r="J299" s="13">
        <f t="shared" si="14"/>
        <v>46.666666666666664</v>
      </c>
      <c r="K299" s="7">
        <v>49</v>
      </c>
      <c r="L299" s="11">
        <f t="shared" si="16"/>
        <v>0.6</v>
      </c>
    </row>
    <row r="300" spans="2:12" x14ac:dyDescent="0.35">
      <c r="B300" s="2" t="s">
        <v>569</v>
      </c>
      <c r="C300" s="3">
        <v>100000001954</v>
      </c>
      <c r="D300" s="4" t="s">
        <v>602</v>
      </c>
      <c r="E300" s="16">
        <v>4047443273475</v>
      </c>
      <c r="F300" s="2" t="s">
        <v>575</v>
      </c>
      <c r="G300" s="2" t="s">
        <v>637</v>
      </c>
      <c r="H300" s="6" t="s">
        <v>325</v>
      </c>
      <c r="I300" s="12">
        <f t="shared" si="15"/>
        <v>6.4761904761904763</v>
      </c>
      <c r="J300" s="13">
        <f t="shared" si="14"/>
        <v>16.19047619047619</v>
      </c>
      <c r="K300" s="7">
        <v>17</v>
      </c>
      <c r="L300" s="11">
        <f t="shared" si="16"/>
        <v>0.6</v>
      </c>
    </row>
    <row r="301" spans="2:12" x14ac:dyDescent="0.35">
      <c r="B301" s="2" t="s">
        <v>569</v>
      </c>
      <c r="C301" s="3">
        <v>100000001955</v>
      </c>
      <c r="D301" s="4" t="s">
        <v>603</v>
      </c>
      <c r="E301" s="16">
        <v>4047443273482</v>
      </c>
      <c r="F301" s="2" t="s">
        <v>575</v>
      </c>
      <c r="G301" s="2" t="s">
        <v>637</v>
      </c>
      <c r="H301" s="6" t="s">
        <v>326</v>
      </c>
      <c r="I301" s="12">
        <f t="shared" si="15"/>
        <v>6.0952380952380949</v>
      </c>
      <c r="J301" s="13">
        <f t="shared" si="14"/>
        <v>15.238095238095237</v>
      </c>
      <c r="K301" s="7">
        <v>16</v>
      </c>
      <c r="L301" s="11">
        <f t="shared" si="16"/>
        <v>0.6</v>
      </c>
    </row>
    <row r="302" spans="2:12" x14ac:dyDescent="0.35">
      <c r="B302" s="2" t="s">
        <v>569</v>
      </c>
      <c r="C302" s="3">
        <v>100000349025</v>
      </c>
      <c r="D302" s="4">
        <v>49218</v>
      </c>
      <c r="E302" s="16">
        <v>4007249492180</v>
      </c>
      <c r="F302" s="2" t="s">
        <v>575</v>
      </c>
      <c r="G302" s="2" t="s">
        <v>637</v>
      </c>
      <c r="H302" s="6" t="s">
        <v>327</v>
      </c>
      <c r="I302" s="12">
        <f t="shared" si="15"/>
        <v>41.523809523809526</v>
      </c>
      <c r="J302" s="13">
        <f t="shared" si="14"/>
        <v>103.80952380952381</v>
      </c>
      <c r="K302" s="7">
        <v>109</v>
      </c>
      <c r="L302" s="11">
        <f t="shared" si="16"/>
        <v>0.6</v>
      </c>
    </row>
    <row r="303" spans="2:12" x14ac:dyDescent="0.35">
      <c r="B303" s="2" t="s">
        <v>569</v>
      </c>
      <c r="C303" s="3">
        <v>100000349026</v>
      </c>
      <c r="D303" s="4">
        <v>182627</v>
      </c>
      <c r="E303" s="16">
        <v>4047443371799</v>
      </c>
      <c r="F303" s="2" t="s">
        <v>575</v>
      </c>
      <c r="G303" s="2" t="s">
        <v>637</v>
      </c>
      <c r="H303" s="6" t="s">
        <v>328</v>
      </c>
      <c r="I303" s="12">
        <f t="shared" si="15"/>
        <v>18.666666666666668</v>
      </c>
      <c r="J303" s="13">
        <f t="shared" si="14"/>
        <v>46.666666666666664</v>
      </c>
      <c r="K303" s="7">
        <v>49</v>
      </c>
      <c r="L303" s="11">
        <f t="shared" si="16"/>
        <v>0.6</v>
      </c>
    </row>
    <row r="304" spans="2:12" x14ac:dyDescent="0.35">
      <c r="B304" s="2" t="s">
        <v>569</v>
      </c>
      <c r="C304" s="3">
        <v>100000455180</v>
      </c>
      <c r="D304" s="4">
        <v>182628</v>
      </c>
      <c r="E304" s="16">
        <v>4047443371850</v>
      </c>
      <c r="F304" s="2" t="s">
        <v>575</v>
      </c>
      <c r="G304" s="2" t="s">
        <v>637</v>
      </c>
      <c r="H304" s="6" t="s">
        <v>329</v>
      </c>
      <c r="I304" s="12">
        <f t="shared" si="15"/>
        <v>18.666666666666668</v>
      </c>
      <c r="J304" s="13">
        <f t="shared" si="14"/>
        <v>46.666666666666664</v>
      </c>
      <c r="K304" s="7">
        <v>49</v>
      </c>
      <c r="L304" s="11">
        <f t="shared" si="16"/>
        <v>0.6</v>
      </c>
    </row>
    <row r="305" spans="2:12" x14ac:dyDescent="0.35">
      <c r="B305" s="2" t="s">
        <v>569</v>
      </c>
      <c r="C305" s="3">
        <v>100000306777</v>
      </c>
      <c r="D305" s="4">
        <v>182632</v>
      </c>
      <c r="E305" s="16">
        <v>4047443371607</v>
      </c>
      <c r="F305" s="2" t="s">
        <v>575</v>
      </c>
      <c r="G305" s="2" t="s">
        <v>637</v>
      </c>
      <c r="H305" s="6" t="s">
        <v>330</v>
      </c>
      <c r="I305" s="12">
        <f t="shared" si="15"/>
        <v>22.476190476190478</v>
      </c>
      <c r="J305" s="13">
        <f t="shared" si="14"/>
        <v>56.19047619047619</v>
      </c>
      <c r="K305" s="7">
        <v>59</v>
      </c>
      <c r="L305" s="11">
        <f t="shared" si="16"/>
        <v>0.59999999999999987</v>
      </c>
    </row>
    <row r="306" spans="2:12" x14ac:dyDescent="0.35">
      <c r="B306" s="2" t="s">
        <v>569</v>
      </c>
      <c r="C306" s="3">
        <v>100000349027</v>
      </c>
      <c r="D306" s="4">
        <v>182633</v>
      </c>
      <c r="E306" s="16">
        <v>4047443372833</v>
      </c>
      <c r="F306" s="2" t="s">
        <v>575</v>
      </c>
      <c r="G306" s="2" t="s">
        <v>637</v>
      </c>
      <c r="H306" s="6" t="s">
        <v>331</v>
      </c>
      <c r="I306" s="12">
        <f t="shared" si="15"/>
        <v>22.476190476190478</v>
      </c>
      <c r="J306" s="13">
        <f t="shared" si="14"/>
        <v>56.19047619047619</v>
      </c>
      <c r="K306" s="7">
        <v>59</v>
      </c>
      <c r="L306" s="11">
        <f t="shared" si="16"/>
        <v>0.59999999999999987</v>
      </c>
    </row>
    <row r="307" spans="2:12" x14ac:dyDescent="0.35">
      <c r="B307" s="2" t="s">
        <v>569</v>
      </c>
      <c r="C307" s="3">
        <v>100000349028</v>
      </c>
      <c r="D307" s="4">
        <v>182617</v>
      </c>
      <c r="E307" s="16">
        <v>4047443458506</v>
      </c>
      <c r="F307" s="2" t="s">
        <v>575</v>
      </c>
      <c r="G307" s="2" t="s">
        <v>637</v>
      </c>
      <c r="H307" s="6" t="s">
        <v>332</v>
      </c>
      <c r="I307" s="12">
        <f t="shared" si="15"/>
        <v>37.714285714285715</v>
      </c>
      <c r="J307" s="13">
        <f t="shared" si="14"/>
        <v>94.285714285714278</v>
      </c>
      <c r="K307" s="7">
        <v>99</v>
      </c>
      <c r="L307" s="11">
        <f t="shared" si="16"/>
        <v>0.6</v>
      </c>
    </row>
    <row r="308" spans="2:12" x14ac:dyDescent="0.35">
      <c r="B308" s="2" t="s">
        <v>569</v>
      </c>
      <c r="C308" s="3">
        <v>100000349029</v>
      </c>
      <c r="D308" s="4" t="s">
        <v>604</v>
      </c>
      <c r="E308" s="16">
        <v>4047443476616</v>
      </c>
      <c r="F308" s="2" t="s">
        <v>575</v>
      </c>
      <c r="G308" s="2" t="s">
        <v>637</v>
      </c>
      <c r="H308" s="6" t="s">
        <v>333</v>
      </c>
      <c r="I308" s="12">
        <f t="shared" si="15"/>
        <v>72</v>
      </c>
      <c r="J308" s="13">
        <f t="shared" si="14"/>
        <v>180</v>
      </c>
      <c r="K308" s="7">
        <v>189</v>
      </c>
      <c r="L308" s="11">
        <f t="shared" si="16"/>
        <v>0.6</v>
      </c>
    </row>
    <row r="309" spans="2:12" x14ac:dyDescent="0.35">
      <c r="B309" s="2" t="s">
        <v>569</v>
      </c>
      <c r="C309" s="3">
        <v>100000349030</v>
      </c>
      <c r="D309" s="4">
        <v>73200006</v>
      </c>
      <c r="E309" s="16">
        <v>4047443441928</v>
      </c>
      <c r="F309" s="2" t="s">
        <v>575</v>
      </c>
      <c r="G309" s="2" t="s">
        <v>637</v>
      </c>
      <c r="H309" s="6" t="s">
        <v>334</v>
      </c>
      <c r="I309" s="12">
        <f t="shared" si="15"/>
        <v>68.19047619047619</v>
      </c>
      <c r="J309" s="13">
        <f t="shared" si="14"/>
        <v>170.47619047619048</v>
      </c>
      <c r="K309" s="7">
        <v>179</v>
      </c>
      <c r="L309" s="11">
        <f t="shared" si="16"/>
        <v>0.6</v>
      </c>
    </row>
    <row r="310" spans="2:12" x14ac:dyDescent="0.35">
      <c r="B310" s="2" t="s">
        <v>569</v>
      </c>
      <c r="C310" s="3">
        <v>100000349031</v>
      </c>
      <c r="D310" s="4">
        <v>53049</v>
      </c>
      <c r="E310" s="16">
        <v>4007249530493</v>
      </c>
      <c r="F310" s="2" t="s">
        <v>575</v>
      </c>
      <c r="G310" s="2" t="s">
        <v>637</v>
      </c>
      <c r="H310" s="6" t="s">
        <v>335</v>
      </c>
      <c r="I310" s="12">
        <f t="shared" si="15"/>
        <v>22.476190476190478</v>
      </c>
      <c r="J310" s="13">
        <f t="shared" si="14"/>
        <v>56.19047619047619</v>
      </c>
      <c r="K310" s="7">
        <v>59</v>
      </c>
      <c r="L310" s="11">
        <f t="shared" si="16"/>
        <v>0.59999999999999987</v>
      </c>
    </row>
    <row r="311" spans="2:12" x14ac:dyDescent="0.35">
      <c r="B311" s="2" t="s">
        <v>569</v>
      </c>
      <c r="C311" s="3">
        <v>100000306778</v>
      </c>
      <c r="D311" s="4">
        <v>182645</v>
      </c>
      <c r="E311" s="16">
        <v>4047443370853</v>
      </c>
      <c r="F311" s="2" t="s">
        <v>575</v>
      </c>
      <c r="G311" s="2" t="s">
        <v>637</v>
      </c>
      <c r="H311" s="6" t="s">
        <v>336</v>
      </c>
      <c r="I311" s="12">
        <f t="shared" si="15"/>
        <v>30.095238095238098</v>
      </c>
      <c r="J311" s="13">
        <f t="shared" si="14"/>
        <v>75.238095238095241</v>
      </c>
      <c r="K311" s="7">
        <v>79</v>
      </c>
      <c r="L311" s="11">
        <f t="shared" si="16"/>
        <v>0.6</v>
      </c>
    </row>
    <row r="312" spans="2:12" x14ac:dyDescent="0.35">
      <c r="B312" s="2" t="s">
        <v>569</v>
      </c>
      <c r="C312" s="3">
        <v>100000349033</v>
      </c>
      <c r="D312" s="4">
        <v>196602</v>
      </c>
      <c r="E312" s="16">
        <v>4047443455185</v>
      </c>
      <c r="F312" s="2" t="s">
        <v>575</v>
      </c>
      <c r="G312" s="2" t="s">
        <v>637</v>
      </c>
      <c r="H312" s="6" t="s">
        <v>337</v>
      </c>
      <c r="I312" s="12">
        <f t="shared" si="15"/>
        <v>45.333333333333336</v>
      </c>
      <c r="J312" s="13">
        <f t="shared" si="14"/>
        <v>113.33333333333333</v>
      </c>
      <c r="K312" s="7">
        <v>119</v>
      </c>
      <c r="L312" s="11">
        <f t="shared" si="16"/>
        <v>0.6</v>
      </c>
    </row>
    <row r="313" spans="2:12" x14ac:dyDescent="0.35">
      <c r="B313" s="2" t="s">
        <v>569</v>
      </c>
      <c r="C313" s="3">
        <v>100000349034</v>
      </c>
      <c r="D313" s="4">
        <v>216502</v>
      </c>
      <c r="E313" s="16">
        <v>4047443463074</v>
      </c>
      <c r="F313" s="2" t="s">
        <v>575</v>
      </c>
      <c r="G313" s="2" t="s">
        <v>637</v>
      </c>
      <c r="H313" s="6" t="s">
        <v>338</v>
      </c>
      <c r="I313" s="12">
        <f t="shared" si="15"/>
        <v>26.285714285714285</v>
      </c>
      <c r="J313" s="13">
        <f t="shared" si="14"/>
        <v>65.714285714285708</v>
      </c>
      <c r="K313" s="7">
        <v>69</v>
      </c>
      <c r="L313" s="11">
        <f t="shared" si="16"/>
        <v>0.6</v>
      </c>
    </row>
    <row r="314" spans="2:12" x14ac:dyDescent="0.35">
      <c r="B314" s="2" t="s">
        <v>569</v>
      </c>
      <c r="C314" s="3">
        <v>100000349035</v>
      </c>
      <c r="D314" s="4">
        <v>216503</v>
      </c>
      <c r="E314" s="16">
        <v>4047443463272</v>
      </c>
      <c r="F314" s="2" t="s">
        <v>575</v>
      </c>
      <c r="G314" s="2" t="s">
        <v>637</v>
      </c>
      <c r="H314" s="6" t="s">
        <v>339</v>
      </c>
      <c r="I314" s="12">
        <f t="shared" si="15"/>
        <v>30.095238095238098</v>
      </c>
      <c r="J314" s="13">
        <f t="shared" si="14"/>
        <v>75.238095238095241</v>
      </c>
      <c r="K314" s="7">
        <v>79</v>
      </c>
      <c r="L314" s="11">
        <f t="shared" si="16"/>
        <v>0.6</v>
      </c>
    </row>
    <row r="315" spans="2:12" x14ac:dyDescent="0.35">
      <c r="B315" s="2" t="s">
        <v>569</v>
      </c>
      <c r="C315" s="3">
        <v>100000348430</v>
      </c>
      <c r="D315" s="4">
        <v>216504</v>
      </c>
      <c r="E315" s="16">
        <v>4047443463326</v>
      </c>
      <c r="F315" s="2" t="s">
        <v>575</v>
      </c>
      <c r="G315" s="2" t="s">
        <v>637</v>
      </c>
      <c r="H315" s="6" t="s">
        <v>340</v>
      </c>
      <c r="I315" s="12">
        <f t="shared" si="15"/>
        <v>33.904761904761905</v>
      </c>
      <c r="J315" s="13">
        <f t="shared" si="14"/>
        <v>84.761904761904759</v>
      </c>
      <c r="K315" s="7">
        <v>89</v>
      </c>
      <c r="L315" s="11">
        <f t="shared" si="16"/>
        <v>0.6</v>
      </c>
    </row>
    <row r="316" spans="2:12" x14ac:dyDescent="0.35">
      <c r="B316" s="2" t="s">
        <v>569</v>
      </c>
      <c r="C316" s="3">
        <v>100000348428</v>
      </c>
      <c r="D316" s="4">
        <v>217106</v>
      </c>
      <c r="E316" s="16">
        <v>4047443471864</v>
      </c>
      <c r="F316" s="2" t="s">
        <v>575</v>
      </c>
      <c r="G316" s="2" t="s">
        <v>637</v>
      </c>
      <c r="H316" s="6" t="s">
        <v>341</v>
      </c>
      <c r="I316" s="12">
        <f t="shared" si="15"/>
        <v>26.285714285714285</v>
      </c>
      <c r="J316" s="13">
        <f t="shared" si="14"/>
        <v>65.714285714285708</v>
      </c>
      <c r="K316" s="7">
        <v>69</v>
      </c>
      <c r="L316" s="11">
        <f t="shared" si="16"/>
        <v>0.6</v>
      </c>
    </row>
    <row r="317" spans="2:12" x14ac:dyDescent="0.35">
      <c r="B317" s="2" t="s">
        <v>569</v>
      </c>
      <c r="C317" s="3">
        <v>100000349036</v>
      </c>
      <c r="D317" s="4">
        <v>217107</v>
      </c>
      <c r="E317" s="16">
        <v>4047443471871</v>
      </c>
      <c r="F317" s="2" t="s">
        <v>575</v>
      </c>
      <c r="G317" s="2" t="s">
        <v>637</v>
      </c>
      <c r="H317" s="6" t="s">
        <v>342</v>
      </c>
      <c r="I317" s="12">
        <f t="shared" si="15"/>
        <v>30.095238095238098</v>
      </c>
      <c r="J317" s="13">
        <f t="shared" si="14"/>
        <v>75.238095238095241</v>
      </c>
      <c r="K317" s="7">
        <v>79</v>
      </c>
      <c r="L317" s="11">
        <f t="shared" si="16"/>
        <v>0.6</v>
      </c>
    </row>
    <row r="318" spans="2:12" x14ac:dyDescent="0.35">
      <c r="B318" s="2" t="s">
        <v>569</v>
      </c>
      <c r="C318" s="3">
        <v>100000349037</v>
      </c>
      <c r="D318" s="4">
        <v>216563</v>
      </c>
      <c r="E318" s="16">
        <v>4047443467737</v>
      </c>
      <c r="F318" s="2" t="s">
        <v>575</v>
      </c>
      <c r="G318" s="2" t="s">
        <v>637</v>
      </c>
      <c r="H318" s="6" t="s">
        <v>343</v>
      </c>
      <c r="I318" s="12">
        <f t="shared" si="15"/>
        <v>37.714285714285715</v>
      </c>
      <c r="J318" s="13">
        <f t="shared" si="14"/>
        <v>94.285714285714278</v>
      </c>
      <c r="K318" s="7">
        <v>99</v>
      </c>
      <c r="L318" s="11">
        <f t="shared" si="16"/>
        <v>0.6</v>
      </c>
    </row>
    <row r="319" spans="2:12" x14ac:dyDescent="0.35">
      <c r="B319" s="2" t="s">
        <v>569</v>
      </c>
      <c r="C319" s="3">
        <v>100000349038</v>
      </c>
      <c r="D319" s="4" t="s">
        <v>605</v>
      </c>
      <c r="E319" s="16">
        <v>4007249964502</v>
      </c>
      <c r="F319" s="2" t="s">
        <v>575</v>
      </c>
      <c r="G319" s="2" t="s">
        <v>637</v>
      </c>
      <c r="H319" s="6" t="s">
        <v>344</v>
      </c>
      <c r="I319" s="12">
        <f t="shared" si="15"/>
        <v>49.142857142857139</v>
      </c>
      <c r="J319" s="13">
        <f t="shared" si="14"/>
        <v>122.85714285714285</v>
      </c>
      <c r="K319" s="7">
        <v>129</v>
      </c>
      <c r="L319" s="11">
        <f t="shared" si="16"/>
        <v>0.6</v>
      </c>
    </row>
    <row r="320" spans="2:12" x14ac:dyDescent="0.35">
      <c r="B320" s="2" t="s">
        <v>569</v>
      </c>
      <c r="C320" s="3">
        <v>100000339479</v>
      </c>
      <c r="D320" s="4">
        <v>139924</v>
      </c>
      <c r="E320" s="16">
        <v>4047443419682</v>
      </c>
      <c r="F320" s="2" t="s">
        <v>575</v>
      </c>
      <c r="G320" s="2" t="s">
        <v>637</v>
      </c>
      <c r="H320" s="6" t="s">
        <v>345</v>
      </c>
      <c r="I320" s="12">
        <f t="shared" si="15"/>
        <v>37.714285714285715</v>
      </c>
      <c r="J320" s="13">
        <f t="shared" si="14"/>
        <v>94.285714285714278</v>
      </c>
      <c r="K320" s="7">
        <v>99</v>
      </c>
      <c r="L320" s="11">
        <f t="shared" si="16"/>
        <v>0.6</v>
      </c>
    </row>
    <row r="321" spans="2:12" x14ac:dyDescent="0.35">
      <c r="B321" s="2" t="s">
        <v>569</v>
      </c>
      <c r="C321" s="3">
        <v>100000352253</v>
      </c>
      <c r="D321" s="4" t="s">
        <v>606</v>
      </c>
      <c r="E321" s="16">
        <v>4007249058232</v>
      </c>
      <c r="F321" s="2" t="s">
        <v>575</v>
      </c>
      <c r="G321" s="2" t="s">
        <v>637</v>
      </c>
      <c r="H321" s="6" t="s">
        <v>346</v>
      </c>
      <c r="I321" s="12">
        <f t="shared" si="15"/>
        <v>45.333333333333336</v>
      </c>
      <c r="J321" s="13">
        <f t="shared" si="14"/>
        <v>113.33333333333333</v>
      </c>
      <c r="K321" s="7">
        <v>119</v>
      </c>
      <c r="L321" s="11">
        <f t="shared" si="16"/>
        <v>0.6</v>
      </c>
    </row>
    <row r="322" spans="2:12" x14ac:dyDescent="0.35">
      <c r="B322" s="2" t="s">
        <v>569</v>
      </c>
      <c r="C322" s="3" t="s">
        <v>563</v>
      </c>
      <c r="D322" s="4">
        <v>205143</v>
      </c>
      <c r="E322" s="16">
        <v>4047443445285</v>
      </c>
      <c r="F322" s="2" t="s">
        <v>575</v>
      </c>
      <c r="G322" s="2" t="s">
        <v>637</v>
      </c>
      <c r="H322" s="6" t="s">
        <v>347</v>
      </c>
      <c r="I322" s="12">
        <f t="shared" si="15"/>
        <v>18.666666666666668</v>
      </c>
      <c r="J322" s="13">
        <f t="shared" si="14"/>
        <v>46.666666666666664</v>
      </c>
      <c r="K322" s="7">
        <v>49</v>
      </c>
      <c r="L322" s="11">
        <f t="shared" si="16"/>
        <v>0.6</v>
      </c>
    </row>
    <row r="323" spans="2:12" x14ac:dyDescent="0.35">
      <c r="B323" s="2" t="s">
        <v>569</v>
      </c>
      <c r="C323" s="3">
        <v>100000355904</v>
      </c>
      <c r="D323" s="4">
        <v>134960</v>
      </c>
      <c r="E323" s="16">
        <v>4047443447111</v>
      </c>
      <c r="F323" s="2" t="s">
        <v>575</v>
      </c>
      <c r="G323" s="2" t="s">
        <v>637</v>
      </c>
      <c r="H323" s="6" t="s">
        <v>348</v>
      </c>
      <c r="I323" s="12">
        <f t="shared" si="15"/>
        <v>11.047619047619047</v>
      </c>
      <c r="J323" s="13">
        <f t="shared" ref="J323:J386" si="17">K323/(1+5%)</f>
        <v>27.619047619047617</v>
      </c>
      <c r="K323" s="7">
        <v>29</v>
      </c>
      <c r="L323" s="11">
        <f t="shared" si="16"/>
        <v>0.6</v>
      </c>
    </row>
    <row r="324" spans="2:12" x14ac:dyDescent="0.35">
      <c r="B324" s="2" t="s">
        <v>569</v>
      </c>
      <c r="C324" s="3">
        <v>100000355905</v>
      </c>
      <c r="D324" s="4" t="s">
        <v>607</v>
      </c>
      <c r="E324" s="16">
        <v>4047443488329</v>
      </c>
      <c r="F324" s="2" t="s">
        <v>575</v>
      </c>
      <c r="G324" s="2" t="s">
        <v>637</v>
      </c>
      <c r="H324" s="6" t="s">
        <v>349</v>
      </c>
      <c r="I324" s="12">
        <f t="shared" si="15"/>
        <v>79.61904761904762</v>
      </c>
      <c r="J324" s="13">
        <f t="shared" si="17"/>
        <v>199.04761904761904</v>
      </c>
      <c r="K324" s="7">
        <v>209</v>
      </c>
      <c r="L324" s="11">
        <f t="shared" si="16"/>
        <v>0.6</v>
      </c>
    </row>
    <row r="325" spans="2:12" x14ac:dyDescent="0.35">
      <c r="B325" s="2" t="s">
        <v>569</v>
      </c>
      <c r="C325" s="3">
        <v>100000355906</v>
      </c>
      <c r="D325" s="4">
        <v>95546</v>
      </c>
      <c r="E325" s="16">
        <v>4007249955463</v>
      </c>
      <c r="F325" s="2" t="s">
        <v>575</v>
      </c>
      <c r="G325" s="2" t="s">
        <v>637</v>
      </c>
      <c r="H325" s="6" t="s">
        <v>350</v>
      </c>
      <c r="I325" s="12">
        <f t="shared" si="15"/>
        <v>14.857142857142856</v>
      </c>
      <c r="J325" s="13">
        <f t="shared" si="17"/>
        <v>37.142857142857139</v>
      </c>
      <c r="K325" s="7">
        <v>39</v>
      </c>
      <c r="L325" s="11">
        <f t="shared" si="16"/>
        <v>0.60000000000000009</v>
      </c>
    </row>
    <row r="326" spans="2:12" x14ac:dyDescent="0.35">
      <c r="B326" s="2" t="s">
        <v>569</v>
      </c>
      <c r="C326" s="3">
        <v>100000355908</v>
      </c>
      <c r="D326" s="4">
        <v>200602</v>
      </c>
      <c r="E326" s="16">
        <v>4047443443656</v>
      </c>
      <c r="F326" s="2" t="s">
        <v>575</v>
      </c>
      <c r="G326" s="2" t="s">
        <v>637</v>
      </c>
      <c r="H326" s="6" t="s">
        <v>351</v>
      </c>
      <c r="I326" s="12">
        <f t="shared" si="15"/>
        <v>6.0952380952380949</v>
      </c>
      <c r="J326" s="13">
        <f t="shared" si="17"/>
        <v>15.238095238095237</v>
      </c>
      <c r="K326" s="7">
        <v>16</v>
      </c>
      <c r="L326" s="11">
        <f t="shared" si="16"/>
        <v>0.6</v>
      </c>
    </row>
    <row r="327" spans="2:12" x14ac:dyDescent="0.35">
      <c r="B327" s="2" t="s">
        <v>569</v>
      </c>
      <c r="C327" s="3">
        <v>100000355909</v>
      </c>
      <c r="D327" s="4">
        <v>200603</v>
      </c>
      <c r="E327" s="16">
        <v>4047443443663</v>
      </c>
      <c r="F327" s="2" t="s">
        <v>575</v>
      </c>
      <c r="G327" s="2" t="s">
        <v>637</v>
      </c>
      <c r="H327" s="6" t="s">
        <v>352</v>
      </c>
      <c r="I327" s="12">
        <f t="shared" si="15"/>
        <v>7.2380952380952381</v>
      </c>
      <c r="J327" s="13">
        <f t="shared" si="17"/>
        <v>18.095238095238095</v>
      </c>
      <c r="K327" s="7">
        <v>19</v>
      </c>
      <c r="L327" s="11">
        <f t="shared" si="16"/>
        <v>0.60000000000000009</v>
      </c>
    </row>
    <row r="328" spans="2:12" x14ac:dyDescent="0.35">
      <c r="B328" s="2" t="s">
        <v>569</v>
      </c>
      <c r="C328" s="3">
        <v>100000355910</v>
      </c>
      <c r="D328" s="4">
        <v>216564</v>
      </c>
      <c r="E328" s="16">
        <v>4047443467744</v>
      </c>
      <c r="F328" s="2" t="s">
        <v>575</v>
      </c>
      <c r="G328" s="2" t="s">
        <v>637</v>
      </c>
      <c r="H328" s="6" t="s">
        <v>353</v>
      </c>
      <c r="I328" s="12">
        <f t="shared" si="15"/>
        <v>41.523809523809526</v>
      </c>
      <c r="J328" s="13">
        <f t="shared" si="17"/>
        <v>103.80952380952381</v>
      </c>
      <c r="K328" s="7">
        <v>109</v>
      </c>
      <c r="L328" s="11">
        <f t="shared" si="16"/>
        <v>0.6</v>
      </c>
    </row>
    <row r="329" spans="2:12" x14ac:dyDescent="0.35">
      <c r="B329" s="2" t="s">
        <v>569</v>
      </c>
      <c r="C329" s="3">
        <v>100000355911</v>
      </c>
      <c r="D329" s="4">
        <v>101914</v>
      </c>
      <c r="E329" s="16">
        <v>4047443402608</v>
      </c>
      <c r="F329" s="2" t="s">
        <v>575</v>
      </c>
      <c r="G329" s="2" t="s">
        <v>637</v>
      </c>
      <c r="H329" s="6" t="s">
        <v>354</v>
      </c>
      <c r="I329" s="12">
        <f t="shared" si="15"/>
        <v>30.095238095238098</v>
      </c>
      <c r="J329" s="13">
        <f t="shared" si="17"/>
        <v>75.238095238095241</v>
      </c>
      <c r="K329" s="7">
        <v>79</v>
      </c>
      <c r="L329" s="11">
        <f t="shared" si="16"/>
        <v>0.6</v>
      </c>
    </row>
    <row r="330" spans="2:12" x14ac:dyDescent="0.35">
      <c r="B330" s="2" t="s">
        <v>569</v>
      </c>
      <c r="C330" s="3">
        <v>100000355912</v>
      </c>
      <c r="D330" s="4">
        <v>216529</v>
      </c>
      <c r="E330" s="16">
        <v>4047443464545</v>
      </c>
      <c r="F330" s="2" t="s">
        <v>575</v>
      </c>
      <c r="G330" s="2" t="s">
        <v>637</v>
      </c>
      <c r="H330" s="6" t="s">
        <v>355</v>
      </c>
      <c r="I330" s="12">
        <f t="shared" si="15"/>
        <v>52.952380952380956</v>
      </c>
      <c r="J330" s="13">
        <f t="shared" si="17"/>
        <v>132.38095238095238</v>
      </c>
      <c r="K330" s="7">
        <v>139</v>
      </c>
      <c r="L330" s="11">
        <f t="shared" si="16"/>
        <v>0.59999999999999987</v>
      </c>
    </row>
    <row r="331" spans="2:12" x14ac:dyDescent="0.35">
      <c r="B331" s="2" t="s">
        <v>569</v>
      </c>
      <c r="C331" s="3">
        <v>100000355913</v>
      </c>
      <c r="D331" s="4">
        <v>101550</v>
      </c>
      <c r="E331" s="16">
        <v>4047443349347</v>
      </c>
      <c r="F331" s="2" t="s">
        <v>575</v>
      </c>
      <c r="G331" s="2" t="s">
        <v>637</v>
      </c>
      <c r="H331" s="6" t="s">
        <v>356</v>
      </c>
      <c r="I331" s="12">
        <f t="shared" si="15"/>
        <v>30.095238095238098</v>
      </c>
      <c r="J331" s="13">
        <f t="shared" si="17"/>
        <v>75.238095238095241</v>
      </c>
      <c r="K331" s="7">
        <v>79</v>
      </c>
      <c r="L331" s="11">
        <f t="shared" si="16"/>
        <v>0.6</v>
      </c>
    </row>
    <row r="332" spans="2:12" x14ac:dyDescent="0.35">
      <c r="B332" s="2" t="s">
        <v>569</v>
      </c>
      <c r="C332" s="3">
        <v>100000355914</v>
      </c>
      <c r="D332" s="4">
        <v>101554</v>
      </c>
      <c r="E332" s="16">
        <v>4047443349255</v>
      </c>
      <c r="F332" s="2" t="s">
        <v>575</v>
      </c>
      <c r="G332" s="2" t="s">
        <v>637</v>
      </c>
      <c r="H332" s="6" t="s">
        <v>357</v>
      </c>
      <c r="I332" s="12">
        <f t="shared" si="15"/>
        <v>30.095238095238098</v>
      </c>
      <c r="J332" s="13">
        <f t="shared" si="17"/>
        <v>75.238095238095241</v>
      </c>
      <c r="K332" s="7">
        <v>79</v>
      </c>
      <c r="L332" s="11">
        <f t="shared" si="16"/>
        <v>0.6</v>
      </c>
    </row>
    <row r="333" spans="2:12" x14ac:dyDescent="0.35">
      <c r="B333" s="2" t="s">
        <v>569</v>
      </c>
      <c r="C333" s="3">
        <v>100000355915</v>
      </c>
      <c r="D333" s="4">
        <v>185693</v>
      </c>
      <c r="E333" s="16">
        <v>4047443440549</v>
      </c>
      <c r="F333" s="2" t="s">
        <v>575</v>
      </c>
      <c r="G333" s="2" t="s">
        <v>637</v>
      </c>
      <c r="H333" s="6" t="s">
        <v>358</v>
      </c>
      <c r="I333" s="12">
        <f t="shared" si="15"/>
        <v>75.80952380952381</v>
      </c>
      <c r="J333" s="13">
        <f t="shared" si="17"/>
        <v>189.52380952380952</v>
      </c>
      <c r="K333" s="7">
        <v>199</v>
      </c>
      <c r="L333" s="11">
        <f t="shared" si="16"/>
        <v>0.6</v>
      </c>
    </row>
    <row r="334" spans="2:12" x14ac:dyDescent="0.35">
      <c r="B334" s="2" t="s">
        <v>569</v>
      </c>
      <c r="C334" s="3">
        <v>100000368415</v>
      </c>
      <c r="D334" s="4">
        <v>217273</v>
      </c>
      <c r="E334" s="16">
        <v>4047443509161</v>
      </c>
      <c r="F334" s="2" t="s">
        <v>575</v>
      </c>
      <c r="G334" s="2" t="s">
        <v>637</v>
      </c>
      <c r="H334" s="6" t="s">
        <v>359</v>
      </c>
      <c r="I334" s="12">
        <f t="shared" si="15"/>
        <v>33.904761904761905</v>
      </c>
      <c r="J334" s="13">
        <f t="shared" si="17"/>
        <v>84.761904761904759</v>
      </c>
      <c r="K334" s="7">
        <v>89</v>
      </c>
      <c r="L334" s="11">
        <f t="shared" si="16"/>
        <v>0.6</v>
      </c>
    </row>
    <row r="335" spans="2:12" x14ac:dyDescent="0.35">
      <c r="B335" s="2" t="s">
        <v>569</v>
      </c>
      <c r="C335" s="3">
        <v>100000360118</v>
      </c>
      <c r="D335" s="4">
        <v>173026</v>
      </c>
      <c r="E335" s="16">
        <v>4047443479754</v>
      </c>
      <c r="F335" s="2" t="s">
        <v>575</v>
      </c>
      <c r="G335" s="2" t="s">
        <v>637</v>
      </c>
      <c r="H335" s="6" t="s">
        <v>360</v>
      </c>
      <c r="I335" s="12">
        <f t="shared" si="15"/>
        <v>22.476190476190478</v>
      </c>
      <c r="J335" s="13">
        <f t="shared" si="17"/>
        <v>56.19047619047619</v>
      </c>
      <c r="K335" s="7">
        <v>59</v>
      </c>
      <c r="L335" s="11">
        <f t="shared" si="16"/>
        <v>0.59999999999999987</v>
      </c>
    </row>
    <row r="336" spans="2:12" x14ac:dyDescent="0.35">
      <c r="B336" s="2" t="s">
        <v>569</v>
      </c>
      <c r="C336" s="3">
        <v>100000360117</v>
      </c>
      <c r="D336" s="4">
        <v>173020</v>
      </c>
      <c r="E336" s="16">
        <v>4047443479693</v>
      </c>
      <c r="F336" s="2" t="s">
        <v>575</v>
      </c>
      <c r="G336" s="2" t="s">
        <v>637</v>
      </c>
      <c r="H336" s="6" t="s">
        <v>361</v>
      </c>
      <c r="I336" s="12">
        <f t="shared" si="15"/>
        <v>18.666666666666668</v>
      </c>
      <c r="J336" s="13">
        <f t="shared" si="17"/>
        <v>46.666666666666664</v>
      </c>
      <c r="K336" s="7">
        <v>49</v>
      </c>
      <c r="L336" s="11">
        <f t="shared" si="16"/>
        <v>0.6</v>
      </c>
    </row>
    <row r="337" spans="2:12" x14ac:dyDescent="0.35">
      <c r="B337" s="2" t="s">
        <v>569</v>
      </c>
      <c r="C337" s="3">
        <v>100000360119</v>
      </c>
      <c r="D337" s="4">
        <v>173032</v>
      </c>
      <c r="E337" s="16">
        <v>4047443500793</v>
      </c>
      <c r="F337" s="2" t="s">
        <v>575</v>
      </c>
      <c r="G337" s="2" t="s">
        <v>637</v>
      </c>
      <c r="H337" s="6" t="s">
        <v>362</v>
      </c>
      <c r="I337" s="12">
        <f t="shared" si="15"/>
        <v>37.714285714285715</v>
      </c>
      <c r="J337" s="13">
        <f t="shared" si="17"/>
        <v>94.285714285714278</v>
      </c>
      <c r="K337" s="7">
        <v>99</v>
      </c>
      <c r="L337" s="11">
        <f t="shared" si="16"/>
        <v>0.6</v>
      </c>
    </row>
    <row r="338" spans="2:12" x14ac:dyDescent="0.35">
      <c r="B338" s="2" t="s">
        <v>569</v>
      </c>
      <c r="C338" s="3">
        <v>100000368464</v>
      </c>
      <c r="D338" s="4">
        <v>173033</v>
      </c>
      <c r="E338" s="16">
        <v>4047443500809</v>
      </c>
      <c r="F338" s="2" t="s">
        <v>575</v>
      </c>
      <c r="G338" s="2" t="s">
        <v>637</v>
      </c>
      <c r="H338" s="6" t="s">
        <v>363</v>
      </c>
      <c r="I338" s="12">
        <f t="shared" si="15"/>
        <v>37.714285714285715</v>
      </c>
      <c r="J338" s="13">
        <f t="shared" si="17"/>
        <v>94.285714285714278</v>
      </c>
      <c r="K338" s="7">
        <v>99</v>
      </c>
      <c r="L338" s="11">
        <f t="shared" si="16"/>
        <v>0.6</v>
      </c>
    </row>
    <row r="339" spans="2:12" x14ac:dyDescent="0.35">
      <c r="B339" s="2" t="s">
        <v>569</v>
      </c>
      <c r="C339" s="3">
        <v>100000367989</v>
      </c>
      <c r="D339" s="4">
        <v>200144</v>
      </c>
      <c r="E339" s="16">
        <v>4047443505484</v>
      </c>
      <c r="F339" s="2" t="s">
        <v>575</v>
      </c>
      <c r="G339" s="2" t="s">
        <v>637</v>
      </c>
      <c r="H339" s="6" t="s">
        <v>364</v>
      </c>
      <c r="I339" s="12">
        <f t="shared" si="15"/>
        <v>75.80952380952381</v>
      </c>
      <c r="J339" s="13">
        <f t="shared" si="17"/>
        <v>189.52380952380952</v>
      </c>
      <c r="K339" s="7">
        <v>199</v>
      </c>
      <c r="L339" s="11">
        <f t="shared" si="16"/>
        <v>0.6</v>
      </c>
    </row>
    <row r="340" spans="2:12" x14ac:dyDescent="0.35">
      <c r="B340" s="2" t="s">
        <v>569</v>
      </c>
      <c r="C340" s="3">
        <v>100000368465</v>
      </c>
      <c r="D340" s="4">
        <v>185697</v>
      </c>
      <c r="E340" s="16">
        <v>4047443443021</v>
      </c>
      <c r="F340" s="2" t="s">
        <v>575</v>
      </c>
      <c r="G340" s="2" t="s">
        <v>637</v>
      </c>
      <c r="H340" s="6" t="s">
        <v>365</v>
      </c>
      <c r="I340" s="12">
        <f t="shared" si="15"/>
        <v>26.285714285714285</v>
      </c>
      <c r="J340" s="13">
        <f t="shared" si="17"/>
        <v>65.714285714285708</v>
      </c>
      <c r="K340" s="7">
        <v>69</v>
      </c>
      <c r="L340" s="11">
        <f t="shared" si="16"/>
        <v>0.6</v>
      </c>
    </row>
    <row r="341" spans="2:12" x14ac:dyDescent="0.35">
      <c r="B341" s="2" t="s">
        <v>569</v>
      </c>
      <c r="C341" s="3">
        <v>100000368466</v>
      </c>
      <c r="D341" s="4">
        <v>185663</v>
      </c>
      <c r="E341" s="16">
        <v>4047443417695</v>
      </c>
      <c r="F341" s="2" t="s">
        <v>575</v>
      </c>
      <c r="G341" s="2" t="s">
        <v>637</v>
      </c>
      <c r="H341" s="6" t="s">
        <v>366</v>
      </c>
      <c r="I341" s="12">
        <f t="shared" si="15"/>
        <v>30.095238095238098</v>
      </c>
      <c r="J341" s="13">
        <f t="shared" si="17"/>
        <v>75.238095238095241</v>
      </c>
      <c r="K341" s="7">
        <v>79</v>
      </c>
      <c r="L341" s="11">
        <f t="shared" si="16"/>
        <v>0.6</v>
      </c>
    </row>
    <row r="342" spans="2:12" x14ac:dyDescent="0.35">
      <c r="B342" s="2" t="s">
        <v>569</v>
      </c>
      <c r="C342" s="3">
        <v>100000368467</v>
      </c>
      <c r="D342" s="4">
        <v>139916</v>
      </c>
      <c r="E342" s="16">
        <v>4047443411457</v>
      </c>
      <c r="F342" s="2" t="s">
        <v>575</v>
      </c>
      <c r="G342" s="2" t="s">
        <v>637</v>
      </c>
      <c r="H342" s="6" t="s">
        <v>367</v>
      </c>
      <c r="I342" s="12">
        <f t="shared" si="15"/>
        <v>72</v>
      </c>
      <c r="J342" s="13">
        <f t="shared" si="17"/>
        <v>180</v>
      </c>
      <c r="K342" s="7">
        <v>189</v>
      </c>
      <c r="L342" s="11">
        <f t="shared" si="16"/>
        <v>0.6</v>
      </c>
    </row>
    <row r="343" spans="2:12" x14ac:dyDescent="0.35">
      <c r="B343" s="2" t="s">
        <v>569</v>
      </c>
      <c r="C343" s="3">
        <v>100000368468</v>
      </c>
      <c r="D343" s="4">
        <v>182691</v>
      </c>
      <c r="E343" s="16">
        <v>4047443499073</v>
      </c>
      <c r="F343" s="2" t="s">
        <v>575</v>
      </c>
      <c r="G343" s="2" t="s">
        <v>637</v>
      </c>
      <c r="H343" s="6" t="s">
        <v>368</v>
      </c>
      <c r="I343" s="12">
        <f t="shared" si="15"/>
        <v>171.04761904761904</v>
      </c>
      <c r="J343" s="13">
        <f t="shared" si="17"/>
        <v>427.61904761904759</v>
      </c>
      <c r="K343" s="7">
        <v>449</v>
      </c>
      <c r="L343" s="11">
        <f t="shared" si="16"/>
        <v>0.6</v>
      </c>
    </row>
    <row r="344" spans="2:12" x14ac:dyDescent="0.35">
      <c r="B344" s="2" t="s">
        <v>569</v>
      </c>
      <c r="C344" s="3">
        <v>100000368469</v>
      </c>
      <c r="D344" s="4" t="s">
        <v>608</v>
      </c>
      <c r="E344" s="16">
        <v>4047443524096</v>
      </c>
      <c r="F344" s="2" t="s">
        <v>575</v>
      </c>
      <c r="G344" s="2" t="s">
        <v>637</v>
      </c>
      <c r="H344" s="6" t="s">
        <v>369</v>
      </c>
      <c r="I344" s="12">
        <f t="shared" si="15"/>
        <v>52.952380952380956</v>
      </c>
      <c r="J344" s="13">
        <f t="shared" si="17"/>
        <v>132.38095238095238</v>
      </c>
      <c r="K344" s="7">
        <v>139</v>
      </c>
      <c r="L344" s="11">
        <f t="shared" si="16"/>
        <v>0.59999999999999987</v>
      </c>
    </row>
    <row r="345" spans="2:12" x14ac:dyDescent="0.35">
      <c r="B345" s="2" t="s">
        <v>569</v>
      </c>
      <c r="C345" s="3">
        <v>100000368470</v>
      </c>
      <c r="D345" s="4" t="s">
        <v>609</v>
      </c>
      <c r="E345" s="16">
        <v>4047443524416</v>
      </c>
      <c r="F345" s="2" t="s">
        <v>575</v>
      </c>
      <c r="G345" s="2" t="s">
        <v>637</v>
      </c>
      <c r="H345" s="6" t="s">
        <v>370</v>
      </c>
      <c r="I345" s="12">
        <f t="shared" si="15"/>
        <v>113.90476190476191</v>
      </c>
      <c r="J345" s="13">
        <f t="shared" si="17"/>
        <v>284.76190476190476</v>
      </c>
      <c r="K345" s="7">
        <v>299</v>
      </c>
      <c r="L345" s="11">
        <f t="shared" si="16"/>
        <v>0.59999999999999987</v>
      </c>
    </row>
    <row r="346" spans="2:12" x14ac:dyDescent="0.35">
      <c r="B346" s="2" t="s">
        <v>569</v>
      </c>
      <c r="C346" s="3">
        <v>100000368471</v>
      </c>
      <c r="D346" s="4" t="s">
        <v>610</v>
      </c>
      <c r="E346" s="16">
        <v>4047443524454</v>
      </c>
      <c r="F346" s="2" t="s">
        <v>575</v>
      </c>
      <c r="G346" s="2" t="s">
        <v>637</v>
      </c>
      <c r="H346" s="6" t="s">
        <v>371</v>
      </c>
      <c r="I346" s="12">
        <f t="shared" si="15"/>
        <v>113.90476190476191</v>
      </c>
      <c r="J346" s="13">
        <f t="shared" si="17"/>
        <v>284.76190476190476</v>
      </c>
      <c r="K346" s="7">
        <v>299</v>
      </c>
      <c r="L346" s="11">
        <f t="shared" si="16"/>
        <v>0.59999999999999987</v>
      </c>
    </row>
    <row r="347" spans="2:12" x14ac:dyDescent="0.35">
      <c r="B347" s="2" t="s">
        <v>569</v>
      </c>
      <c r="C347" s="3">
        <v>100000368472</v>
      </c>
      <c r="D347" s="4" t="s">
        <v>611</v>
      </c>
      <c r="E347" s="16">
        <v>4047443524195</v>
      </c>
      <c r="F347" s="2" t="s">
        <v>575</v>
      </c>
      <c r="G347" s="2" t="s">
        <v>637</v>
      </c>
      <c r="H347" s="6" t="s">
        <v>372</v>
      </c>
      <c r="I347" s="12">
        <f t="shared" si="15"/>
        <v>190.0952380952381</v>
      </c>
      <c r="J347" s="13">
        <f t="shared" si="17"/>
        <v>475.23809523809524</v>
      </c>
      <c r="K347" s="7">
        <v>499</v>
      </c>
      <c r="L347" s="11">
        <f t="shared" si="16"/>
        <v>0.6</v>
      </c>
    </row>
    <row r="348" spans="2:12" x14ac:dyDescent="0.35">
      <c r="B348" s="2" t="s">
        <v>569</v>
      </c>
      <c r="C348" s="3">
        <v>100000368473</v>
      </c>
      <c r="D348" s="4" t="s">
        <v>612</v>
      </c>
      <c r="E348" s="16">
        <v>4007249059666</v>
      </c>
      <c r="F348" s="2" t="s">
        <v>575</v>
      </c>
      <c r="G348" s="2" t="s">
        <v>637</v>
      </c>
      <c r="H348" s="6" t="s">
        <v>373</v>
      </c>
      <c r="I348" s="12">
        <f t="shared" si="15"/>
        <v>26.285714285714285</v>
      </c>
      <c r="J348" s="13">
        <f t="shared" si="17"/>
        <v>65.714285714285708</v>
      </c>
      <c r="K348" s="7">
        <v>69</v>
      </c>
      <c r="L348" s="11">
        <f t="shared" si="16"/>
        <v>0.6</v>
      </c>
    </row>
    <row r="349" spans="2:12" x14ac:dyDescent="0.35">
      <c r="B349" s="2" t="s">
        <v>569</v>
      </c>
      <c r="C349" s="3">
        <v>100000324013</v>
      </c>
      <c r="D349" s="4">
        <v>173186</v>
      </c>
      <c r="E349" s="16">
        <v>4047443406279</v>
      </c>
      <c r="F349" s="2" t="s">
        <v>577</v>
      </c>
      <c r="G349" s="2" t="s">
        <v>637</v>
      </c>
      <c r="H349" s="6" t="s">
        <v>396</v>
      </c>
      <c r="I349" s="12">
        <f t="shared" ref="I349:I401" si="18">0.4*J349</f>
        <v>37.714285714285715</v>
      </c>
      <c r="J349" s="13">
        <f t="shared" si="17"/>
        <v>94.285714285714278</v>
      </c>
      <c r="K349" s="7">
        <v>99</v>
      </c>
      <c r="L349" s="11">
        <f t="shared" ref="L349:L401" si="19">(J349-I349)/J349</f>
        <v>0.6</v>
      </c>
    </row>
    <row r="350" spans="2:12" x14ac:dyDescent="0.35">
      <c r="B350" s="2" t="s">
        <v>569</v>
      </c>
      <c r="C350" s="3">
        <v>100000313941</v>
      </c>
      <c r="D350" s="4">
        <v>54486</v>
      </c>
      <c r="E350" s="16">
        <v>4007249544865</v>
      </c>
      <c r="F350" s="2" t="s">
        <v>577</v>
      </c>
      <c r="G350" s="2" t="s">
        <v>637</v>
      </c>
      <c r="H350" s="6" t="s">
        <v>397</v>
      </c>
      <c r="I350" s="12">
        <f t="shared" si="18"/>
        <v>33.904761904761905</v>
      </c>
      <c r="J350" s="13">
        <f t="shared" si="17"/>
        <v>84.761904761904759</v>
      </c>
      <c r="K350" s="7">
        <v>89</v>
      </c>
      <c r="L350" s="11">
        <f t="shared" si="19"/>
        <v>0.6</v>
      </c>
    </row>
    <row r="351" spans="2:12" x14ac:dyDescent="0.35">
      <c r="B351" s="2" t="s">
        <v>569</v>
      </c>
      <c r="C351" s="3">
        <v>100000244070</v>
      </c>
      <c r="D351" s="4">
        <v>122251</v>
      </c>
      <c r="E351" s="16">
        <v>4047443190543</v>
      </c>
      <c r="F351" s="2" t="s">
        <v>577</v>
      </c>
      <c r="G351" s="2" t="s">
        <v>637</v>
      </c>
      <c r="H351" s="6" t="s">
        <v>398</v>
      </c>
      <c r="I351" s="12">
        <f t="shared" si="18"/>
        <v>18.666666666666668</v>
      </c>
      <c r="J351" s="13">
        <f t="shared" si="17"/>
        <v>46.666666666666664</v>
      </c>
      <c r="K351" s="7">
        <v>49</v>
      </c>
      <c r="L351" s="11">
        <f t="shared" si="19"/>
        <v>0.6</v>
      </c>
    </row>
    <row r="352" spans="2:12" x14ac:dyDescent="0.35">
      <c r="B352" s="2" t="s">
        <v>569</v>
      </c>
      <c r="C352" s="3">
        <v>100000242338</v>
      </c>
      <c r="D352" s="4">
        <v>122258</v>
      </c>
      <c r="E352" s="16">
        <v>4047443190628</v>
      </c>
      <c r="F352" s="2" t="s">
        <v>577</v>
      </c>
      <c r="G352" s="2" t="s">
        <v>637</v>
      </c>
      <c r="H352" s="6" t="s">
        <v>399</v>
      </c>
      <c r="I352" s="12">
        <f t="shared" si="18"/>
        <v>30.095238095238098</v>
      </c>
      <c r="J352" s="13">
        <f t="shared" si="17"/>
        <v>75.238095238095241</v>
      </c>
      <c r="K352" s="7">
        <v>79</v>
      </c>
      <c r="L352" s="11">
        <f t="shared" si="19"/>
        <v>0.6</v>
      </c>
    </row>
    <row r="353" spans="2:12" x14ac:dyDescent="0.35">
      <c r="B353" s="2" t="s">
        <v>569</v>
      </c>
      <c r="C353" s="3">
        <v>100000243651</v>
      </c>
      <c r="D353" s="4">
        <v>122263</v>
      </c>
      <c r="E353" s="16">
        <v>4047443188731</v>
      </c>
      <c r="F353" s="2" t="s">
        <v>577</v>
      </c>
      <c r="G353" s="2" t="s">
        <v>637</v>
      </c>
      <c r="H353" s="6" t="s">
        <v>400</v>
      </c>
      <c r="I353" s="12">
        <f t="shared" si="18"/>
        <v>30.095238095238098</v>
      </c>
      <c r="J353" s="13">
        <f t="shared" si="17"/>
        <v>75.238095238095241</v>
      </c>
      <c r="K353" s="7">
        <v>79</v>
      </c>
      <c r="L353" s="11">
        <f t="shared" si="19"/>
        <v>0.6</v>
      </c>
    </row>
    <row r="354" spans="2:12" x14ac:dyDescent="0.35">
      <c r="B354" s="2" t="s">
        <v>569</v>
      </c>
      <c r="C354" s="3">
        <v>100000244481</v>
      </c>
      <c r="D354" s="4">
        <v>122298</v>
      </c>
      <c r="E354" s="16">
        <v>4047443190871</v>
      </c>
      <c r="F354" s="2" t="s">
        <v>577</v>
      </c>
      <c r="G354" s="2" t="s">
        <v>637</v>
      </c>
      <c r="H354" s="6" t="s">
        <v>401</v>
      </c>
      <c r="I354" s="12">
        <f t="shared" si="18"/>
        <v>11.047619047619047</v>
      </c>
      <c r="J354" s="13">
        <f t="shared" si="17"/>
        <v>27.619047619047617</v>
      </c>
      <c r="K354" s="7">
        <v>29</v>
      </c>
      <c r="L354" s="11">
        <f t="shared" si="19"/>
        <v>0.6</v>
      </c>
    </row>
    <row r="355" spans="2:12" x14ac:dyDescent="0.35">
      <c r="B355" s="2" t="s">
        <v>569</v>
      </c>
      <c r="C355" s="3">
        <v>100000244073</v>
      </c>
      <c r="D355" s="4">
        <v>122329</v>
      </c>
      <c r="E355" s="16">
        <v>4047443191199</v>
      </c>
      <c r="F355" s="2" t="s">
        <v>577</v>
      </c>
      <c r="G355" s="2" t="s">
        <v>637</v>
      </c>
      <c r="H355" s="6" t="s">
        <v>402</v>
      </c>
      <c r="I355" s="12">
        <f t="shared" si="18"/>
        <v>14.857142857142856</v>
      </c>
      <c r="J355" s="13">
        <f t="shared" si="17"/>
        <v>37.142857142857139</v>
      </c>
      <c r="K355" s="7">
        <v>39</v>
      </c>
      <c r="L355" s="11">
        <f t="shared" si="19"/>
        <v>0.60000000000000009</v>
      </c>
    </row>
    <row r="356" spans="2:12" x14ac:dyDescent="0.35">
      <c r="B356" s="2" t="s">
        <v>569</v>
      </c>
      <c r="C356" s="3">
        <v>100000243653</v>
      </c>
      <c r="D356" s="4">
        <v>122366</v>
      </c>
      <c r="E356" s="16">
        <v>4047443220912</v>
      </c>
      <c r="F356" s="2" t="s">
        <v>577</v>
      </c>
      <c r="G356" s="2" t="s">
        <v>637</v>
      </c>
      <c r="H356" s="6" t="s">
        <v>403</v>
      </c>
      <c r="I356" s="12">
        <f t="shared" si="18"/>
        <v>26.285714285714285</v>
      </c>
      <c r="J356" s="13">
        <f t="shared" si="17"/>
        <v>65.714285714285708</v>
      </c>
      <c r="K356" s="7">
        <v>69</v>
      </c>
      <c r="L356" s="11">
        <f t="shared" si="19"/>
        <v>0.6</v>
      </c>
    </row>
    <row r="357" spans="2:12" x14ac:dyDescent="0.35">
      <c r="B357" s="2" t="s">
        <v>569</v>
      </c>
      <c r="C357" s="3">
        <v>100000326668</v>
      </c>
      <c r="D357" s="4">
        <v>177057</v>
      </c>
      <c r="E357" s="16">
        <v>4047443430090</v>
      </c>
      <c r="F357" s="2" t="s">
        <v>577</v>
      </c>
      <c r="G357" s="2" t="s">
        <v>637</v>
      </c>
      <c r="H357" s="6" t="s">
        <v>404</v>
      </c>
      <c r="I357" s="12">
        <f t="shared" si="18"/>
        <v>49.142857142857139</v>
      </c>
      <c r="J357" s="13">
        <f t="shared" si="17"/>
        <v>122.85714285714285</v>
      </c>
      <c r="K357" s="7">
        <v>129</v>
      </c>
      <c r="L357" s="11">
        <f t="shared" si="19"/>
        <v>0.6</v>
      </c>
    </row>
    <row r="358" spans="2:12" x14ac:dyDescent="0.35">
      <c r="B358" s="2" t="s">
        <v>569</v>
      </c>
      <c r="C358" s="3">
        <v>100000326669</v>
      </c>
      <c r="D358" s="4">
        <v>177094</v>
      </c>
      <c r="E358" s="16">
        <v>4047443318978</v>
      </c>
      <c r="F358" s="2" t="s">
        <v>577</v>
      </c>
      <c r="G358" s="2" t="s">
        <v>637</v>
      </c>
      <c r="H358" s="6" t="s">
        <v>405</v>
      </c>
      <c r="I358" s="12">
        <f t="shared" si="18"/>
        <v>18.666666666666668</v>
      </c>
      <c r="J358" s="13">
        <f t="shared" si="17"/>
        <v>46.666666666666664</v>
      </c>
      <c r="K358" s="7">
        <v>49</v>
      </c>
      <c r="L358" s="11">
        <f t="shared" si="19"/>
        <v>0.6</v>
      </c>
    </row>
    <row r="359" spans="2:12" x14ac:dyDescent="0.35">
      <c r="B359" s="2" t="s">
        <v>569</v>
      </c>
      <c r="C359" s="3">
        <v>100000331087</v>
      </c>
      <c r="D359" s="4">
        <v>177099</v>
      </c>
      <c r="E359" s="16">
        <v>4047443311467</v>
      </c>
      <c r="F359" s="2" t="s">
        <v>577</v>
      </c>
      <c r="G359" s="2" t="s">
        <v>637</v>
      </c>
      <c r="H359" s="6" t="s">
        <v>406</v>
      </c>
      <c r="I359" s="12">
        <f t="shared" si="18"/>
        <v>94.857142857142861</v>
      </c>
      <c r="J359" s="13">
        <f t="shared" si="17"/>
        <v>237.14285714285714</v>
      </c>
      <c r="K359" s="7">
        <v>249</v>
      </c>
      <c r="L359" s="11">
        <f t="shared" si="19"/>
        <v>0.6</v>
      </c>
    </row>
    <row r="360" spans="2:12" x14ac:dyDescent="0.35">
      <c r="B360" s="2" t="s">
        <v>569</v>
      </c>
      <c r="C360" s="3">
        <v>100000326670</v>
      </c>
      <c r="D360" s="4">
        <v>184020</v>
      </c>
      <c r="E360" s="16">
        <v>4047443388841</v>
      </c>
      <c r="F360" s="2" t="s">
        <v>577</v>
      </c>
      <c r="G360" s="2" t="s">
        <v>637</v>
      </c>
      <c r="H360" s="6" t="s">
        <v>407</v>
      </c>
      <c r="I360" s="12">
        <f t="shared" si="18"/>
        <v>37.714285714285715</v>
      </c>
      <c r="J360" s="13">
        <f t="shared" si="17"/>
        <v>94.285714285714278</v>
      </c>
      <c r="K360" s="7">
        <v>99</v>
      </c>
      <c r="L360" s="11">
        <f t="shared" si="19"/>
        <v>0.6</v>
      </c>
    </row>
    <row r="361" spans="2:12" x14ac:dyDescent="0.35">
      <c r="B361" s="2" t="s">
        <v>569</v>
      </c>
      <c r="C361" s="3">
        <v>100000326681</v>
      </c>
      <c r="D361" s="4">
        <v>186344</v>
      </c>
      <c r="E361" s="16">
        <v>4047443412034</v>
      </c>
      <c r="F361" s="2" t="s">
        <v>577</v>
      </c>
      <c r="G361" s="2" t="s">
        <v>637</v>
      </c>
      <c r="H361" s="6" t="s">
        <v>410</v>
      </c>
      <c r="I361" s="12">
        <f t="shared" si="18"/>
        <v>22.476190476190478</v>
      </c>
      <c r="J361" s="13">
        <f t="shared" si="17"/>
        <v>56.19047619047619</v>
      </c>
      <c r="K361" s="7">
        <v>59</v>
      </c>
      <c r="L361" s="11">
        <f t="shared" si="19"/>
        <v>0.59999999999999987</v>
      </c>
    </row>
    <row r="362" spans="2:12" x14ac:dyDescent="0.35">
      <c r="B362" s="2" t="s">
        <v>569</v>
      </c>
      <c r="C362" s="3">
        <v>100000326682</v>
      </c>
      <c r="D362" s="4">
        <v>186379</v>
      </c>
      <c r="E362" s="16">
        <v>4047443416674</v>
      </c>
      <c r="F362" s="2" t="s">
        <v>577</v>
      </c>
      <c r="G362" s="2" t="s">
        <v>637</v>
      </c>
      <c r="H362" s="6" t="s">
        <v>411</v>
      </c>
      <c r="I362" s="12">
        <f t="shared" si="18"/>
        <v>14.857142857142856</v>
      </c>
      <c r="J362" s="13">
        <f t="shared" si="17"/>
        <v>37.142857142857139</v>
      </c>
      <c r="K362" s="7">
        <v>39</v>
      </c>
      <c r="L362" s="11">
        <f t="shared" si="19"/>
        <v>0.60000000000000009</v>
      </c>
    </row>
    <row r="363" spans="2:12" x14ac:dyDescent="0.35">
      <c r="B363" s="2" t="s">
        <v>569</v>
      </c>
      <c r="C363" s="3">
        <v>100000322409</v>
      </c>
      <c r="D363" s="4">
        <v>184007</v>
      </c>
      <c r="E363" s="16">
        <v>4047443388599</v>
      </c>
      <c r="F363" s="2" t="s">
        <v>577</v>
      </c>
      <c r="G363" s="2" t="s">
        <v>637</v>
      </c>
      <c r="H363" s="6" t="s">
        <v>412</v>
      </c>
      <c r="I363" s="12">
        <f t="shared" si="18"/>
        <v>14.857142857142856</v>
      </c>
      <c r="J363" s="13">
        <f t="shared" si="17"/>
        <v>37.142857142857139</v>
      </c>
      <c r="K363" s="7">
        <v>39</v>
      </c>
      <c r="L363" s="11">
        <f t="shared" si="19"/>
        <v>0.60000000000000009</v>
      </c>
    </row>
    <row r="364" spans="2:12" x14ac:dyDescent="0.35">
      <c r="B364" s="2" t="s">
        <v>569</v>
      </c>
      <c r="C364" s="3">
        <v>100000322410</v>
      </c>
      <c r="D364" s="4">
        <v>184008</v>
      </c>
      <c r="E364" s="16">
        <v>4047443388605</v>
      </c>
      <c r="F364" s="2" t="s">
        <v>577</v>
      </c>
      <c r="G364" s="2" t="s">
        <v>637</v>
      </c>
      <c r="H364" s="6" t="s">
        <v>413</v>
      </c>
      <c r="I364" s="12">
        <f t="shared" si="18"/>
        <v>14.857142857142856</v>
      </c>
      <c r="J364" s="13">
        <f t="shared" si="17"/>
        <v>37.142857142857139</v>
      </c>
      <c r="K364" s="7">
        <v>39</v>
      </c>
      <c r="L364" s="11">
        <f t="shared" si="19"/>
        <v>0.60000000000000009</v>
      </c>
    </row>
    <row r="365" spans="2:12" x14ac:dyDescent="0.35">
      <c r="B365" s="2" t="s">
        <v>569</v>
      </c>
      <c r="C365" s="3">
        <v>100000322411</v>
      </c>
      <c r="D365" s="4">
        <v>184037</v>
      </c>
      <c r="E365" s="16">
        <v>4047443388995</v>
      </c>
      <c r="F365" s="2" t="s">
        <v>577</v>
      </c>
      <c r="G365" s="2" t="s">
        <v>637</v>
      </c>
      <c r="H365" s="6" t="s">
        <v>414</v>
      </c>
      <c r="I365" s="12">
        <f t="shared" si="18"/>
        <v>18.666666666666668</v>
      </c>
      <c r="J365" s="13">
        <f t="shared" si="17"/>
        <v>46.666666666666664</v>
      </c>
      <c r="K365" s="7">
        <v>49</v>
      </c>
      <c r="L365" s="11">
        <f t="shared" si="19"/>
        <v>0.6</v>
      </c>
    </row>
    <row r="366" spans="2:12" x14ac:dyDescent="0.35">
      <c r="B366" s="2" t="s">
        <v>569</v>
      </c>
      <c r="C366" s="3">
        <v>100000322412</v>
      </c>
      <c r="D366" s="4">
        <v>184038</v>
      </c>
      <c r="E366" s="16">
        <v>4047443389008</v>
      </c>
      <c r="F366" s="2" t="s">
        <v>577</v>
      </c>
      <c r="G366" s="2" t="s">
        <v>637</v>
      </c>
      <c r="H366" s="6" t="s">
        <v>415</v>
      </c>
      <c r="I366" s="12">
        <f t="shared" si="18"/>
        <v>18.666666666666668</v>
      </c>
      <c r="J366" s="13">
        <f t="shared" si="17"/>
        <v>46.666666666666664</v>
      </c>
      <c r="K366" s="7">
        <v>49</v>
      </c>
      <c r="L366" s="11">
        <f t="shared" si="19"/>
        <v>0.6</v>
      </c>
    </row>
    <row r="367" spans="2:12" x14ac:dyDescent="0.35">
      <c r="B367" s="2" t="s">
        <v>569</v>
      </c>
      <c r="C367" s="3">
        <v>100000322413</v>
      </c>
      <c r="D367" s="4">
        <v>184039</v>
      </c>
      <c r="E367" s="16">
        <v>4047443389015</v>
      </c>
      <c r="F367" s="2" t="s">
        <v>577</v>
      </c>
      <c r="G367" s="2" t="s">
        <v>637</v>
      </c>
      <c r="H367" s="6" t="s">
        <v>416</v>
      </c>
      <c r="I367" s="12">
        <f t="shared" si="18"/>
        <v>18.666666666666668</v>
      </c>
      <c r="J367" s="13">
        <f t="shared" si="17"/>
        <v>46.666666666666664</v>
      </c>
      <c r="K367" s="7">
        <v>49</v>
      </c>
      <c r="L367" s="11">
        <f t="shared" si="19"/>
        <v>0.6</v>
      </c>
    </row>
    <row r="368" spans="2:12" x14ac:dyDescent="0.35">
      <c r="B368" s="2" t="s">
        <v>569</v>
      </c>
      <c r="C368" s="3">
        <v>100000322414</v>
      </c>
      <c r="D368" s="4">
        <v>184040</v>
      </c>
      <c r="E368" s="16">
        <v>4047443389022</v>
      </c>
      <c r="F368" s="2" t="s">
        <v>577</v>
      </c>
      <c r="G368" s="2" t="s">
        <v>637</v>
      </c>
      <c r="H368" s="6" t="s">
        <v>417</v>
      </c>
      <c r="I368" s="12">
        <f t="shared" si="18"/>
        <v>18.666666666666668</v>
      </c>
      <c r="J368" s="13">
        <f t="shared" si="17"/>
        <v>46.666666666666664</v>
      </c>
      <c r="K368" s="7">
        <v>49</v>
      </c>
      <c r="L368" s="11">
        <f t="shared" si="19"/>
        <v>0.6</v>
      </c>
    </row>
    <row r="369" spans="2:12" x14ac:dyDescent="0.35">
      <c r="B369" s="2" t="s">
        <v>569</v>
      </c>
      <c r="C369" s="3">
        <v>100000001838</v>
      </c>
      <c r="D369" s="4">
        <v>30725</v>
      </c>
      <c r="E369" s="16">
        <v>4007249307255</v>
      </c>
      <c r="F369" s="2" t="s">
        <v>577</v>
      </c>
      <c r="G369" s="2" t="s">
        <v>637</v>
      </c>
      <c r="H369" s="6" t="s">
        <v>418</v>
      </c>
      <c r="I369" s="12">
        <f t="shared" si="18"/>
        <v>14.857142857142856</v>
      </c>
      <c r="J369" s="13">
        <f t="shared" si="17"/>
        <v>37.142857142857139</v>
      </c>
      <c r="K369" s="7">
        <v>39</v>
      </c>
      <c r="L369" s="11">
        <f t="shared" si="19"/>
        <v>0.60000000000000009</v>
      </c>
    </row>
    <row r="370" spans="2:12" x14ac:dyDescent="0.35">
      <c r="B370" s="2" t="s">
        <v>569</v>
      </c>
      <c r="C370" s="3">
        <v>100000185870</v>
      </c>
      <c r="D370" s="4">
        <v>80854</v>
      </c>
      <c r="E370" s="16">
        <v>4007249808547</v>
      </c>
      <c r="F370" s="2" t="s">
        <v>577</v>
      </c>
      <c r="G370" s="2" t="s">
        <v>637</v>
      </c>
      <c r="H370" s="6" t="s">
        <v>419</v>
      </c>
      <c r="I370" s="12">
        <f t="shared" si="18"/>
        <v>11.047619047619047</v>
      </c>
      <c r="J370" s="13">
        <f t="shared" si="17"/>
        <v>27.619047619047617</v>
      </c>
      <c r="K370" s="7">
        <v>29</v>
      </c>
      <c r="L370" s="11">
        <f t="shared" si="19"/>
        <v>0.6</v>
      </c>
    </row>
    <row r="371" spans="2:12" x14ac:dyDescent="0.35">
      <c r="B371" s="2" t="s">
        <v>569</v>
      </c>
      <c r="C371" s="3">
        <v>100000106318</v>
      </c>
      <c r="D371" s="4">
        <v>80868</v>
      </c>
      <c r="E371" s="16">
        <v>4007249808684</v>
      </c>
      <c r="F371" s="2" t="s">
        <v>577</v>
      </c>
      <c r="G371" s="2" t="s">
        <v>637</v>
      </c>
      <c r="H371" s="6" t="s">
        <v>420</v>
      </c>
      <c r="I371" s="12">
        <f t="shared" si="18"/>
        <v>7.6190476190476195</v>
      </c>
      <c r="J371" s="13">
        <f t="shared" si="17"/>
        <v>19.047619047619047</v>
      </c>
      <c r="K371" s="7">
        <v>20</v>
      </c>
      <c r="L371" s="11">
        <f t="shared" si="19"/>
        <v>0.6</v>
      </c>
    </row>
    <row r="372" spans="2:12" x14ac:dyDescent="0.35">
      <c r="B372" s="2" t="s">
        <v>569</v>
      </c>
      <c r="C372" s="3">
        <v>100000106319</v>
      </c>
      <c r="D372" s="4">
        <v>80869</v>
      </c>
      <c r="E372" s="16">
        <v>4007249808691</v>
      </c>
      <c r="F372" s="2" t="s">
        <v>577</v>
      </c>
      <c r="G372" s="2" t="s">
        <v>637</v>
      </c>
      <c r="H372" s="6" t="s">
        <v>421</v>
      </c>
      <c r="I372" s="12">
        <f t="shared" si="18"/>
        <v>11.047619047619047</v>
      </c>
      <c r="J372" s="13">
        <f t="shared" si="17"/>
        <v>27.619047619047617</v>
      </c>
      <c r="K372" s="7">
        <v>29</v>
      </c>
      <c r="L372" s="11">
        <f t="shared" si="19"/>
        <v>0.6</v>
      </c>
    </row>
    <row r="373" spans="2:12" x14ac:dyDescent="0.35">
      <c r="B373" s="2" t="s">
        <v>569</v>
      </c>
      <c r="C373" s="3">
        <v>100000244480</v>
      </c>
      <c r="D373" s="4">
        <v>122257</v>
      </c>
      <c r="E373" s="16">
        <v>4047443190611</v>
      </c>
      <c r="F373" s="2" t="s">
        <v>577</v>
      </c>
      <c r="G373" s="2" t="s">
        <v>637</v>
      </c>
      <c r="H373" s="6" t="s">
        <v>422</v>
      </c>
      <c r="I373" s="12">
        <f t="shared" si="18"/>
        <v>22.476190476190478</v>
      </c>
      <c r="J373" s="13">
        <f t="shared" si="17"/>
        <v>56.19047619047619</v>
      </c>
      <c r="K373" s="7">
        <v>59</v>
      </c>
      <c r="L373" s="11">
        <f t="shared" si="19"/>
        <v>0.59999999999999987</v>
      </c>
    </row>
    <row r="374" spans="2:12" x14ac:dyDescent="0.35">
      <c r="B374" s="2" t="s">
        <v>569</v>
      </c>
      <c r="C374" s="3">
        <v>100000244072</v>
      </c>
      <c r="D374" s="4">
        <v>122296</v>
      </c>
      <c r="E374" s="16">
        <v>4047443190857</v>
      </c>
      <c r="F374" s="2" t="s">
        <v>577</v>
      </c>
      <c r="G374" s="2" t="s">
        <v>637</v>
      </c>
      <c r="H374" s="6" t="s">
        <v>423</v>
      </c>
      <c r="I374" s="12">
        <f t="shared" si="18"/>
        <v>18.666666666666668</v>
      </c>
      <c r="J374" s="13">
        <f t="shared" si="17"/>
        <v>46.666666666666664</v>
      </c>
      <c r="K374" s="7">
        <v>49</v>
      </c>
      <c r="L374" s="11">
        <f t="shared" si="19"/>
        <v>0.6</v>
      </c>
    </row>
    <row r="375" spans="2:12" x14ac:dyDescent="0.35">
      <c r="B375" s="2" t="s">
        <v>569</v>
      </c>
      <c r="C375" s="3">
        <v>100000244482</v>
      </c>
      <c r="D375" s="4">
        <v>122299</v>
      </c>
      <c r="E375" s="16">
        <v>4047443190888</v>
      </c>
      <c r="F375" s="2" t="s">
        <v>577</v>
      </c>
      <c r="G375" s="2" t="s">
        <v>637</v>
      </c>
      <c r="H375" s="6" t="s">
        <v>424</v>
      </c>
      <c r="I375" s="12">
        <f t="shared" si="18"/>
        <v>14.857142857142856</v>
      </c>
      <c r="J375" s="13">
        <f t="shared" si="17"/>
        <v>37.142857142857139</v>
      </c>
      <c r="K375" s="7">
        <v>39</v>
      </c>
      <c r="L375" s="11">
        <f t="shared" si="19"/>
        <v>0.60000000000000009</v>
      </c>
    </row>
    <row r="376" spans="2:12" x14ac:dyDescent="0.35">
      <c r="B376" s="2" t="s">
        <v>569</v>
      </c>
      <c r="C376" s="3">
        <v>100000243652</v>
      </c>
      <c r="D376" s="4">
        <v>122326</v>
      </c>
      <c r="E376" s="16">
        <v>4047443188861</v>
      </c>
      <c r="F376" s="2" t="s">
        <v>577</v>
      </c>
      <c r="G376" s="2" t="s">
        <v>637</v>
      </c>
      <c r="H376" s="6" t="s">
        <v>425</v>
      </c>
      <c r="I376" s="12">
        <f t="shared" si="18"/>
        <v>14.857142857142856</v>
      </c>
      <c r="J376" s="13">
        <f t="shared" si="17"/>
        <v>37.142857142857139</v>
      </c>
      <c r="K376" s="7">
        <v>39</v>
      </c>
      <c r="L376" s="11">
        <f t="shared" si="19"/>
        <v>0.60000000000000009</v>
      </c>
    </row>
    <row r="377" spans="2:12" x14ac:dyDescent="0.35">
      <c r="B377" s="2" t="s">
        <v>569</v>
      </c>
      <c r="C377" s="3">
        <v>100000244074</v>
      </c>
      <c r="D377" s="4">
        <v>122330</v>
      </c>
      <c r="E377" s="16">
        <v>4047443191212</v>
      </c>
      <c r="F377" s="2" t="s">
        <v>577</v>
      </c>
      <c r="G377" s="2" t="s">
        <v>637</v>
      </c>
      <c r="H377" s="6" t="s">
        <v>426</v>
      </c>
      <c r="I377" s="12">
        <f t="shared" si="18"/>
        <v>14.857142857142856</v>
      </c>
      <c r="J377" s="13">
        <f t="shared" si="17"/>
        <v>37.142857142857139</v>
      </c>
      <c r="K377" s="7">
        <v>39</v>
      </c>
      <c r="L377" s="11">
        <f t="shared" si="19"/>
        <v>0.60000000000000009</v>
      </c>
    </row>
    <row r="378" spans="2:12" x14ac:dyDescent="0.35">
      <c r="B378" s="2" t="s">
        <v>569</v>
      </c>
      <c r="C378" s="3">
        <v>100000207951</v>
      </c>
      <c r="D378" s="4">
        <v>39665</v>
      </c>
      <c r="E378" s="16">
        <v>4007249396655</v>
      </c>
      <c r="F378" s="2" t="s">
        <v>577</v>
      </c>
      <c r="G378" s="2" t="s">
        <v>637</v>
      </c>
      <c r="H378" s="6" t="s">
        <v>427</v>
      </c>
      <c r="I378" s="12">
        <f t="shared" si="18"/>
        <v>14.857142857142856</v>
      </c>
      <c r="J378" s="13">
        <f t="shared" si="17"/>
        <v>37.142857142857139</v>
      </c>
      <c r="K378" s="7">
        <v>39</v>
      </c>
      <c r="L378" s="11">
        <f t="shared" si="19"/>
        <v>0.60000000000000009</v>
      </c>
    </row>
    <row r="379" spans="2:12" x14ac:dyDescent="0.35">
      <c r="B379" s="2" t="s">
        <v>569</v>
      </c>
      <c r="C379" s="3">
        <v>100000245994</v>
      </c>
      <c r="D379" s="4">
        <v>39666</v>
      </c>
      <c r="E379" s="16">
        <v>4007249396662</v>
      </c>
      <c r="F379" s="2" t="s">
        <v>577</v>
      </c>
      <c r="G379" s="2" t="s">
        <v>637</v>
      </c>
      <c r="H379" s="6" t="s">
        <v>428</v>
      </c>
      <c r="I379" s="12">
        <f t="shared" si="18"/>
        <v>18.666666666666668</v>
      </c>
      <c r="J379" s="13">
        <f t="shared" si="17"/>
        <v>46.666666666666664</v>
      </c>
      <c r="K379" s="7">
        <v>49</v>
      </c>
      <c r="L379" s="11">
        <f t="shared" si="19"/>
        <v>0.6</v>
      </c>
    </row>
    <row r="380" spans="2:12" x14ac:dyDescent="0.35">
      <c r="B380" s="2" t="s">
        <v>569</v>
      </c>
      <c r="C380" s="3">
        <v>100000243353</v>
      </c>
      <c r="D380" s="4">
        <v>39667</v>
      </c>
      <c r="E380" s="16">
        <v>4007249396679</v>
      </c>
      <c r="F380" s="2" t="s">
        <v>577</v>
      </c>
      <c r="G380" s="2" t="s">
        <v>637</v>
      </c>
      <c r="H380" s="6" t="s">
        <v>429</v>
      </c>
      <c r="I380" s="12">
        <f t="shared" si="18"/>
        <v>30.095238095238098</v>
      </c>
      <c r="J380" s="13">
        <f t="shared" si="17"/>
        <v>75.238095238095241</v>
      </c>
      <c r="K380" s="7">
        <v>79</v>
      </c>
      <c r="L380" s="11">
        <f t="shared" si="19"/>
        <v>0.6</v>
      </c>
    </row>
    <row r="381" spans="2:12" x14ac:dyDescent="0.35">
      <c r="B381" s="2" t="s">
        <v>569</v>
      </c>
      <c r="C381" s="3">
        <v>100000265872</v>
      </c>
      <c r="D381" s="4">
        <v>39668</v>
      </c>
      <c r="E381" s="16">
        <v>4007249396686</v>
      </c>
      <c r="F381" s="2" t="s">
        <v>577</v>
      </c>
      <c r="G381" s="2" t="s">
        <v>637</v>
      </c>
      <c r="H381" s="6" t="s">
        <v>430</v>
      </c>
      <c r="I381" s="12">
        <f t="shared" si="18"/>
        <v>41.523809523809526</v>
      </c>
      <c r="J381" s="13">
        <f t="shared" si="17"/>
        <v>103.80952380952381</v>
      </c>
      <c r="K381" s="7">
        <v>109</v>
      </c>
      <c r="L381" s="11">
        <f t="shared" si="19"/>
        <v>0.6</v>
      </c>
    </row>
    <row r="382" spans="2:12" x14ac:dyDescent="0.35">
      <c r="B382" s="2" t="s">
        <v>569</v>
      </c>
      <c r="C382" s="3">
        <v>100000335949</v>
      </c>
      <c r="D382" s="4">
        <v>12307</v>
      </c>
      <c r="E382" s="16">
        <v>4007249123077</v>
      </c>
      <c r="F382" s="2" t="s">
        <v>577</v>
      </c>
      <c r="G382" s="2" t="s">
        <v>637</v>
      </c>
      <c r="H382" s="6" t="s">
        <v>431</v>
      </c>
      <c r="I382" s="12">
        <f t="shared" si="18"/>
        <v>26.285714285714285</v>
      </c>
      <c r="J382" s="13">
        <f t="shared" si="17"/>
        <v>65.714285714285708</v>
      </c>
      <c r="K382" s="7">
        <v>69</v>
      </c>
      <c r="L382" s="11">
        <f t="shared" si="19"/>
        <v>0.6</v>
      </c>
    </row>
    <row r="383" spans="2:12" x14ac:dyDescent="0.35">
      <c r="B383" s="2" t="s">
        <v>569</v>
      </c>
      <c r="C383" s="3">
        <v>100000335953</v>
      </c>
      <c r="D383" s="4">
        <v>122176</v>
      </c>
      <c r="E383" s="16">
        <v>4047443422460</v>
      </c>
      <c r="F383" s="2" t="s">
        <v>577</v>
      </c>
      <c r="G383" s="2" t="s">
        <v>637</v>
      </c>
      <c r="H383" s="6" t="s">
        <v>432</v>
      </c>
      <c r="I383" s="12">
        <f t="shared" si="18"/>
        <v>33.904761904761905</v>
      </c>
      <c r="J383" s="13">
        <f t="shared" si="17"/>
        <v>84.761904761904759</v>
      </c>
      <c r="K383" s="7">
        <v>89</v>
      </c>
      <c r="L383" s="11">
        <f t="shared" si="19"/>
        <v>0.6</v>
      </c>
    </row>
    <row r="384" spans="2:12" x14ac:dyDescent="0.35">
      <c r="B384" s="2" t="s">
        <v>569</v>
      </c>
      <c r="C384" s="3">
        <v>100000335955</v>
      </c>
      <c r="D384" s="4">
        <v>122177</v>
      </c>
      <c r="E384" s="16">
        <v>4047443422446</v>
      </c>
      <c r="F384" s="2" t="s">
        <v>577</v>
      </c>
      <c r="G384" s="2" t="s">
        <v>637</v>
      </c>
      <c r="H384" s="6" t="s">
        <v>433</v>
      </c>
      <c r="I384" s="12">
        <f t="shared" si="18"/>
        <v>37.714285714285715</v>
      </c>
      <c r="J384" s="13">
        <f t="shared" si="17"/>
        <v>94.285714285714278</v>
      </c>
      <c r="K384" s="7">
        <v>99</v>
      </c>
      <c r="L384" s="11">
        <f t="shared" si="19"/>
        <v>0.6</v>
      </c>
    </row>
    <row r="385" spans="2:12" x14ac:dyDescent="0.35">
      <c r="B385" s="2" t="s">
        <v>569</v>
      </c>
      <c r="C385" s="3">
        <v>100000337269</v>
      </c>
      <c r="D385" s="4">
        <v>135663</v>
      </c>
      <c r="E385" s="16">
        <v>4047443283245</v>
      </c>
      <c r="F385" s="2" t="s">
        <v>577</v>
      </c>
      <c r="G385" s="2" t="s">
        <v>637</v>
      </c>
      <c r="H385" s="6" t="s">
        <v>434</v>
      </c>
      <c r="I385" s="12">
        <f t="shared" si="18"/>
        <v>60.571428571428569</v>
      </c>
      <c r="J385" s="13">
        <f t="shared" si="17"/>
        <v>151.42857142857142</v>
      </c>
      <c r="K385" s="7">
        <v>159</v>
      </c>
      <c r="L385" s="11">
        <f t="shared" si="19"/>
        <v>0.6</v>
      </c>
    </row>
    <row r="386" spans="2:12" x14ac:dyDescent="0.35">
      <c r="B386" s="2" t="s">
        <v>569</v>
      </c>
      <c r="C386" s="3">
        <v>100000337270</v>
      </c>
      <c r="D386" s="4">
        <v>135664</v>
      </c>
      <c r="E386" s="16">
        <v>4047443283252</v>
      </c>
      <c r="F386" s="2" t="s">
        <v>577</v>
      </c>
      <c r="G386" s="2" t="s">
        <v>637</v>
      </c>
      <c r="H386" s="6" t="s">
        <v>435</v>
      </c>
      <c r="I386" s="12">
        <f t="shared" si="18"/>
        <v>60.571428571428569</v>
      </c>
      <c r="J386" s="13">
        <f t="shared" si="17"/>
        <v>151.42857142857142</v>
      </c>
      <c r="K386" s="7">
        <v>159</v>
      </c>
      <c r="L386" s="11">
        <f t="shared" si="19"/>
        <v>0.6</v>
      </c>
    </row>
    <row r="387" spans="2:12" x14ac:dyDescent="0.35">
      <c r="B387" s="2" t="s">
        <v>569</v>
      </c>
      <c r="C387" s="3">
        <v>100000337271</v>
      </c>
      <c r="D387" s="4">
        <v>177052</v>
      </c>
      <c r="E387" s="16">
        <v>4047443381354</v>
      </c>
      <c r="F387" s="2" t="s">
        <v>577</v>
      </c>
      <c r="G387" s="2" t="s">
        <v>637</v>
      </c>
      <c r="H387" s="6" t="s">
        <v>436</v>
      </c>
      <c r="I387" s="12">
        <f t="shared" si="18"/>
        <v>41.523809523809526</v>
      </c>
      <c r="J387" s="13">
        <f t="shared" ref="J387:J450" si="20">K387/(1+5%)</f>
        <v>103.80952380952381</v>
      </c>
      <c r="K387" s="7">
        <v>109</v>
      </c>
      <c r="L387" s="11">
        <f t="shared" si="19"/>
        <v>0.6</v>
      </c>
    </row>
    <row r="388" spans="2:12" x14ac:dyDescent="0.35">
      <c r="B388" s="2" t="s">
        <v>569</v>
      </c>
      <c r="C388" s="3">
        <v>100000337272</v>
      </c>
      <c r="D388" s="4">
        <v>177066</v>
      </c>
      <c r="E388" s="16">
        <v>4047443428240</v>
      </c>
      <c r="F388" s="2" t="s">
        <v>577</v>
      </c>
      <c r="G388" s="2" t="s">
        <v>637</v>
      </c>
      <c r="H388" s="6" t="s">
        <v>437</v>
      </c>
      <c r="I388" s="12">
        <f t="shared" si="18"/>
        <v>52.952380952380956</v>
      </c>
      <c r="J388" s="13">
        <f t="shared" si="20"/>
        <v>132.38095238095238</v>
      </c>
      <c r="K388" s="7">
        <v>139</v>
      </c>
      <c r="L388" s="11">
        <f t="shared" si="19"/>
        <v>0.59999999999999987</v>
      </c>
    </row>
    <row r="389" spans="2:12" x14ac:dyDescent="0.35">
      <c r="B389" s="2" t="s">
        <v>569</v>
      </c>
      <c r="C389" s="3">
        <v>100000337273</v>
      </c>
      <c r="D389" s="4">
        <v>182083</v>
      </c>
      <c r="E389" s="16">
        <v>4047443377319</v>
      </c>
      <c r="F389" s="2" t="s">
        <v>577</v>
      </c>
      <c r="G389" s="2" t="s">
        <v>637</v>
      </c>
      <c r="H389" s="6" t="s">
        <v>438</v>
      </c>
      <c r="I389" s="12">
        <f t="shared" si="18"/>
        <v>7.2380952380952381</v>
      </c>
      <c r="J389" s="13">
        <f t="shared" si="20"/>
        <v>18.095238095238095</v>
      </c>
      <c r="K389" s="7">
        <v>19</v>
      </c>
      <c r="L389" s="11">
        <f t="shared" si="19"/>
        <v>0.60000000000000009</v>
      </c>
    </row>
    <row r="390" spans="2:12" x14ac:dyDescent="0.35">
      <c r="B390" s="2" t="s">
        <v>569</v>
      </c>
      <c r="C390" s="3">
        <v>100000337274</v>
      </c>
      <c r="D390" s="4">
        <v>184016</v>
      </c>
      <c r="E390" s="16">
        <v>4047443388759</v>
      </c>
      <c r="F390" s="2" t="s">
        <v>577</v>
      </c>
      <c r="G390" s="2" t="s">
        <v>637</v>
      </c>
      <c r="H390" s="6" t="s">
        <v>439</v>
      </c>
      <c r="I390" s="12">
        <f t="shared" si="18"/>
        <v>14.857142857142856</v>
      </c>
      <c r="J390" s="13">
        <f t="shared" si="20"/>
        <v>37.142857142857139</v>
      </c>
      <c r="K390" s="7">
        <v>39</v>
      </c>
      <c r="L390" s="11">
        <f t="shared" si="19"/>
        <v>0.60000000000000009</v>
      </c>
    </row>
    <row r="391" spans="2:12" x14ac:dyDescent="0.35">
      <c r="B391" s="2" t="s">
        <v>569</v>
      </c>
      <c r="C391" s="3">
        <v>100000337275</v>
      </c>
      <c r="D391" s="4">
        <v>184054</v>
      </c>
      <c r="E391" s="16">
        <v>4047443417718</v>
      </c>
      <c r="F391" s="2" t="s">
        <v>577</v>
      </c>
      <c r="G391" s="2" t="s">
        <v>637</v>
      </c>
      <c r="H391" s="6" t="s">
        <v>440</v>
      </c>
      <c r="I391" s="12">
        <f t="shared" si="18"/>
        <v>41.523809523809526</v>
      </c>
      <c r="J391" s="13">
        <f t="shared" si="20"/>
        <v>103.80952380952381</v>
      </c>
      <c r="K391" s="7">
        <v>109</v>
      </c>
      <c r="L391" s="11">
        <f t="shared" si="19"/>
        <v>0.6</v>
      </c>
    </row>
    <row r="392" spans="2:12" x14ac:dyDescent="0.35">
      <c r="B392" s="2" t="s">
        <v>569</v>
      </c>
      <c r="C392" s="3">
        <v>100000324000</v>
      </c>
      <c r="D392" s="4">
        <v>184060</v>
      </c>
      <c r="E392" s="16">
        <v>4047443417497</v>
      </c>
      <c r="F392" s="2" t="s">
        <v>577</v>
      </c>
      <c r="G392" s="2" t="s">
        <v>637</v>
      </c>
      <c r="H392" s="6" t="s">
        <v>441</v>
      </c>
      <c r="I392" s="12">
        <f t="shared" si="18"/>
        <v>41.523809523809526</v>
      </c>
      <c r="J392" s="13">
        <f t="shared" si="20"/>
        <v>103.80952380952381</v>
      </c>
      <c r="K392" s="7">
        <v>109</v>
      </c>
      <c r="L392" s="11">
        <f t="shared" si="19"/>
        <v>0.6</v>
      </c>
    </row>
    <row r="393" spans="2:12" x14ac:dyDescent="0.35">
      <c r="B393" s="2" t="s">
        <v>569</v>
      </c>
      <c r="C393" s="3">
        <v>100000324001</v>
      </c>
      <c r="D393" s="4">
        <v>184061</v>
      </c>
      <c r="E393" s="16">
        <v>4047443417503</v>
      </c>
      <c r="F393" s="2" t="s">
        <v>577</v>
      </c>
      <c r="G393" s="2" t="s">
        <v>637</v>
      </c>
      <c r="H393" s="6" t="s">
        <v>442</v>
      </c>
      <c r="I393" s="12">
        <f t="shared" si="18"/>
        <v>41.523809523809526</v>
      </c>
      <c r="J393" s="13">
        <f t="shared" si="20"/>
        <v>103.80952380952381</v>
      </c>
      <c r="K393" s="7">
        <v>109</v>
      </c>
      <c r="L393" s="11">
        <f t="shared" si="19"/>
        <v>0.6</v>
      </c>
    </row>
    <row r="394" spans="2:12" x14ac:dyDescent="0.35">
      <c r="B394" s="2" t="s">
        <v>569</v>
      </c>
      <c r="C394" s="3">
        <v>100000323997</v>
      </c>
      <c r="D394" s="4">
        <v>184023</v>
      </c>
      <c r="E394" s="16">
        <v>4047443398222</v>
      </c>
      <c r="F394" s="2" t="s">
        <v>577</v>
      </c>
      <c r="G394" s="2" t="s">
        <v>637</v>
      </c>
      <c r="H394" s="6" t="s">
        <v>443</v>
      </c>
      <c r="I394" s="12">
        <f t="shared" si="18"/>
        <v>41.523809523809526</v>
      </c>
      <c r="J394" s="13">
        <f t="shared" si="20"/>
        <v>103.80952380952381</v>
      </c>
      <c r="K394" s="7">
        <v>109</v>
      </c>
      <c r="L394" s="11">
        <f t="shared" si="19"/>
        <v>0.6</v>
      </c>
    </row>
    <row r="395" spans="2:12" x14ac:dyDescent="0.35">
      <c r="B395" s="2" t="s">
        <v>569</v>
      </c>
      <c r="C395" s="3">
        <v>100000324003</v>
      </c>
      <c r="D395" s="4">
        <v>184062</v>
      </c>
      <c r="E395" s="16">
        <v>4047443417510</v>
      </c>
      <c r="F395" s="2" t="s">
        <v>577</v>
      </c>
      <c r="G395" s="2" t="s">
        <v>637</v>
      </c>
      <c r="H395" s="6" t="s">
        <v>444</v>
      </c>
      <c r="I395" s="12">
        <f t="shared" si="18"/>
        <v>41.523809523809526</v>
      </c>
      <c r="J395" s="13">
        <f t="shared" si="20"/>
        <v>103.80952380952381</v>
      </c>
      <c r="K395" s="7">
        <v>109</v>
      </c>
      <c r="L395" s="11">
        <f t="shared" si="19"/>
        <v>0.6</v>
      </c>
    </row>
    <row r="396" spans="2:12" x14ac:dyDescent="0.35">
      <c r="B396" s="2" t="s">
        <v>569</v>
      </c>
      <c r="C396" s="3">
        <v>100000337277</v>
      </c>
      <c r="D396" s="4">
        <v>205191</v>
      </c>
      <c r="E396" s="16">
        <v>4047443431592</v>
      </c>
      <c r="F396" s="2" t="s">
        <v>577</v>
      </c>
      <c r="G396" s="2" t="s">
        <v>637</v>
      </c>
      <c r="H396" s="6" t="s">
        <v>445</v>
      </c>
      <c r="I396" s="12">
        <f t="shared" si="18"/>
        <v>5.7142857142857144</v>
      </c>
      <c r="J396" s="13">
        <f t="shared" si="20"/>
        <v>14.285714285714285</v>
      </c>
      <c r="K396" s="7">
        <v>15</v>
      </c>
      <c r="L396" s="11">
        <f t="shared" si="19"/>
        <v>0.59999999999999987</v>
      </c>
    </row>
    <row r="397" spans="2:12" x14ac:dyDescent="0.35">
      <c r="B397" s="2" t="s">
        <v>569</v>
      </c>
      <c r="C397" s="3">
        <v>100000337280</v>
      </c>
      <c r="D397" s="4">
        <v>205192</v>
      </c>
      <c r="E397" s="16">
        <v>4047443431615</v>
      </c>
      <c r="F397" s="2" t="s">
        <v>577</v>
      </c>
      <c r="G397" s="2" t="s">
        <v>637</v>
      </c>
      <c r="H397" s="6" t="s">
        <v>446</v>
      </c>
      <c r="I397" s="12">
        <f t="shared" si="18"/>
        <v>9.5238095238095237</v>
      </c>
      <c r="J397" s="13">
        <f t="shared" si="20"/>
        <v>23.80952380952381</v>
      </c>
      <c r="K397" s="7">
        <v>25</v>
      </c>
      <c r="L397" s="11">
        <f t="shared" si="19"/>
        <v>0.6</v>
      </c>
    </row>
    <row r="398" spans="2:12" x14ac:dyDescent="0.35">
      <c r="B398" s="2" t="s">
        <v>569</v>
      </c>
      <c r="C398" s="3">
        <v>100000326679</v>
      </c>
      <c r="D398" s="4">
        <v>176967</v>
      </c>
      <c r="E398" s="16">
        <v>4047443403025</v>
      </c>
      <c r="F398" s="2" t="s">
        <v>577</v>
      </c>
      <c r="G398" s="2" t="s">
        <v>637</v>
      </c>
      <c r="H398" s="6" t="s">
        <v>447</v>
      </c>
      <c r="I398" s="12">
        <f t="shared" si="18"/>
        <v>37.714285714285715</v>
      </c>
      <c r="J398" s="13">
        <f t="shared" si="20"/>
        <v>94.285714285714278</v>
      </c>
      <c r="K398" s="7">
        <v>99</v>
      </c>
      <c r="L398" s="11">
        <f t="shared" si="19"/>
        <v>0.6</v>
      </c>
    </row>
    <row r="399" spans="2:12" x14ac:dyDescent="0.35">
      <c r="B399" s="2" t="s">
        <v>569</v>
      </c>
      <c r="C399" s="3">
        <v>100000339989</v>
      </c>
      <c r="D399" s="4" t="s">
        <v>618</v>
      </c>
      <c r="E399" s="16">
        <v>4007249017369</v>
      </c>
      <c r="F399" s="2" t="s">
        <v>577</v>
      </c>
      <c r="G399" s="2" t="s">
        <v>637</v>
      </c>
      <c r="H399" s="6" t="s">
        <v>448</v>
      </c>
      <c r="I399" s="12">
        <f t="shared" si="18"/>
        <v>45.333333333333336</v>
      </c>
      <c r="J399" s="13">
        <f t="shared" si="20"/>
        <v>113.33333333333333</v>
      </c>
      <c r="K399" s="7">
        <v>119</v>
      </c>
      <c r="L399" s="11">
        <f t="shared" si="19"/>
        <v>0.6</v>
      </c>
    </row>
    <row r="400" spans="2:12" x14ac:dyDescent="0.35">
      <c r="B400" s="2" t="s">
        <v>569</v>
      </c>
      <c r="C400" s="3">
        <v>100000343064</v>
      </c>
      <c r="D400" s="4">
        <v>184080</v>
      </c>
      <c r="E400" s="16">
        <v>4047443460448</v>
      </c>
      <c r="F400" s="2" t="s">
        <v>577</v>
      </c>
      <c r="G400" s="2" t="s">
        <v>637</v>
      </c>
      <c r="H400" s="6" t="s">
        <v>449</v>
      </c>
      <c r="I400" s="12">
        <f t="shared" si="18"/>
        <v>49.142857142857139</v>
      </c>
      <c r="J400" s="13">
        <f t="shared" si="20"/>
        <v>122.85714285714285</v>
      </c>
      <c r="K400" s="7">
        <v>129</v>
      </c>
      <c r="L400" s="11">
        <f t="shared" si="19"/>
        <v>0.6</v>
      </c>
    </row>
    <row r="401" spans="2:12" x14ac:dyDescent="0.35">
      <c r="B401" s="2" t="s">
        <v>569</v>
      </c>
      <c r="C401" s="3">
        <v>100000343065</v>
      </c>
      <c r="D401" s="4">
        <v>184081</v>
      </c>
      <c r="E401" s="16">
        <v>4047443460455</v>
      </c>
      <c r="F401" s="2" t="s">
        <v>577</v>
      </c>
      <c r="G401" s="2" t="s">
        <v>637</v>
      </c>
      <c r="H401" s="6" t="s">
        <v>450</v>
      </c>
      <c r="I401" s="12">
        <f t="shared" si="18"/>
        <v>49.142857142857139</v>
      </c>
      <c r="J401" s="13">
        <f t="shared" si="20"/>
        <v>122.85714285714285</v>
      </c>
      <c r="K401" s="7">
        <v>129</v>
      </c>
      <c r="L401" s="11">
        <f t="shared" si="19"/>
        <v>0.6</v>
      </c>
    </row>
    <row r="402" spans="2:12" x14ac:dyDescent="0.35">
      <c r="B402" s="2" t="s">
        <v>569</v>
      </c>
      <c r="C402" s="3">
        <v>100000343094</v>
      </c>
      <c r="D402" s="4">
        <v>184067</v>
      </c>
      <c r="E402" s="16">
        <v>4047443458926</v>
      </c>
      <c r="F402" s="2" t="s">
        <v>577</v>
      </c>
      <c r="G402" s="2" t="s">
        <v>637</v>
      </c>
      <c r="H402" s="6" t="s">
        <v>451</v>
      </c>
      <c r="I402" s="12">
        <f t="shared" ref="I402:I430" si="21">0.4*J402</f>
        <v>37.714285714285715</v>
      </c>
      <c r="J402" s="13">
        <f t="shared" si="20"/>
        <v>94.285714285714278</v>
      </c>
      <c r="K402" s="7">
        <v>99</v>
      </c>
      <c r="L402" s="11">
        <f t="shared" ref="L402:L430" si="22">(J402-I402)/J402</f>
        <v>0.6</v>
      </c>
    </row>
    <row r="403" spans="2:12" x14ac:dyDescent="0.35">
      <c r="B403" s="2" t="s">
        <v>569</v>
      </c>
      <c r="C403" s="3">
        <v>100000343095</v>
      </c>
      <c r="D403" s="4">
        <v>184068</v>
      </c>
      <c r="E403" s="16">
        <v>4047443458933</v>
      </c>
      <c r="F403" s="2" t="s">
        <v>577</v>
      </c>
      <c r="G403" s="2" t="s">
        <v>637</v>
      </c>
      <c r="H403" s="6" t="s">
        <v>452</v>
      </c>
      <c r="I403" s="12">
        <f t="shared" si="21"/>
        <v>37.714285714285715</v>
      </c>
      <c r="J403" s="13">
        <f t="shared" si="20"/>
        <v>94.285714285714278</v>
      </c>
      <c r="K403" s="7">
        <v>99</v>
      </c>
      <c r="L403" s="11">
        <f t="shared" si="22"/>
        <v>0.6</v>
      </c>
    </row>
    <row r="404" spans="2:12" x14ac:dyDescent="0.35">
      <c r="B404" s="2" t="s">
        <v>569</v>
      </c>
      <c r="C404" s="3">
        <v>100000344300</v>
      </c>
      <c r="D404" s="4">
        <v>184084</v>
      </c>
      <c r="E404" s="16">
        <v>4047443469953</v>
      </c>
      <c r="F404" s="2" t="s">
        <v>577</v>
      </c>
      <c r="G404" s="2" t="s">
        <v>637</v>
      </c>
      <c r="H404" s="6" t="s">
        <v>453</v>
      </c>
      <c r="I404" s="12">
        <f t="shared" si="21"/>
        <v>37.714285714285715</v>
      </c>
      <c r="J404" s="13">
        <f t="shared" si="20"/>
        <v>94.285714285714278</v>
      </c>
      <c r="K404" s="7">
        <v>99</v>
      </c>
      <c r="L404" s="11">
        <f t="shared" si="22"/>
        <v>0.6</v>
      </c>
    </row>
    <row r="405" spans="2:12" x14ac:dyDescent="0.35">
      <c r="B405" s="2" t="s">
        <v>569</v>
      </c>
      <c r="C405" s="3">
        <v>100000344301</v>
      </c>
      <c r="D405" s="4">
        <v>184086</v>
      </c>
      <c r="E405" s="16">
        <v>4047443471437</v>
      </c>
      <c r="F405" s="2" t="s">
        <v>577</v>
      </c>
      <c r="G405" s="2" t="s">
        <v>637</v>
      </c>
      <c r="H405" s="6" t="s">
        <v>454</v>
      </c>
      <c r="I405" s="12">
        <f t="shared" si="21"/>
        <v>37.714285714285715</v>
      </c>
      <c r="J405" s="13">
        <f t="shared" si="20"/>
        <v>94.285714285714278</v>
      </c>
      <c r="K405" s="7">
        <v>99</v>
      </c>
      <c r="L405" s="11">
        <f t="shared" si="22"/>
        <v>0.6</v>
      </c>
    </row>
    <row r="406" spans="2:12" x14ac:dyDescent="0.35">
      <c r="B406" s="2" t="s">
        <v>569</v>
      </c>
      <c r="C406" s="3">
        <v>100000345010</v>
      </c>
      <c r="D406" s="4">
        <v>184100</v>
      </c>
      <c r="E406" s="16">
        <v>4047443465924</v>
      </c>
      <c r="F406" s="2" t="s">
        <v>577</v>
      </c>
      <c r="G406" s="2" t="s">
        <v>637</v>
      </c>
      <c r="H406" s="6" t="s">
        <v>455</v>
      </c>
      <c r="I406" s="12">
        <f t="shared" si="21"/>
        <v>56.761904761904759</v>
      </c>
      <c r="J406" s="13">
        <f t="shared" si="20"/>
        <v>141.9047619047619</v>
      </c>
      <c r="K406" s="7">
        <v>149</v>
      </c>
      <c r="L406" s="11">
        <f t="shared" si="22"/>
        <v>0.6</v>
      </c>
    </row>
    <row r="407" spans="2:12" x14ac:dyDescent="0.35">
      <c r="B407" s="2" t="s">
        <v>569</v>
      </c>
      <c r="C407" s="3">
        <v>100000345011</v>
      </c>
      <c r="D407" s="4">
        <v>184101</v>
      </c>
      <c r="E407" s="16">
        <v>4047443465917</v>
      </c>
      <c r="F407" s="2" t="s">
        <v>577</v>
      </c>
      <c r="G407" s="2" t="s">
        <v>637</v>
      </c>
      <c r="H407" s="6" t="s">
        <v>456</v>
      </c>
      <c r="I407" s="12">
        <f t="shared" si="21"/>
        <v>56.761904761904759</v>
      </c>
      <c r="J407" s="13">
        <f t="shared" si="20"/>
        <v>141.9047619047619</v>
      </c>
      <c r="K407" s="7">
        <v>149</v>
      </c>
      <c r="L407" s="11">
        <f t="shared" si="22"/>
        <v>0.6</v>
      </c>
    </row>
    <row r="408" spans="2:12" x14ac:dyDescent="0.35">
      <c r="B408" s="2" t="s">
        <v>569</v>
      </c>
      <c r="C408" s="3">
        <v>100000351481</v>
      </c>
      <c r="D408" s="4">
        <v>184156</v>
      </c>
      <c r="E408" s="16">
        <v>4047443486240</v>
      </c>
      <c r="F408" s="2" t="s">
        <v>577</v>
      </c>
      <c r="G408" s="2" t="s">
        <v>637</v>
      </c>
      <c r="H408" s="6" t="s">
        <v>457</v>
      </c>
      <c r="I408" s="12">
        <f t="shared" si="21"/>
        <v>52.952380952380956</v>
      </c>
      <c r="J408" s="13">
        <f t="shared" si="20"/>
        <v>132.38095238095238</v>
      </c>
      <c r="K408" s="7">
        <v>139</v>
      </c>
      <c r="L408" s="11">
        <f t="shared" si="22"/>
        <v>0.59999999999999987</v>
      </c>
    </row>
    <row r="409" spans="2:12" x14ac:dyDescent="0.35">
      <c r="B409" s="2" t="s">
        <v>569</v>
      </c>
      <c r="C409" s="3">
        <v>100000351482</v>
      </c>
      <c r="D409" s="4">
        <v>184157</v>
      </c>
      <c r="E409" s="16">
        <v>4047443486233</v>
      </c>
      <c r="F409" s="2" t="s">
        <v>577</v>
      </c>
      <c r="G409" s="2" t="s">
        <v>637</v>
      </c>
      <c r="H409" s="6" t="s">
        <v>458</v>
      </c>
      <c r="I409" s="12">
        <f t="shared" si="21"/>
        <v>52.952380952380956</v>
      </c>
      <c r="J409" s="13">
        <f t="shared" si="20"/>
        <v>132.38095238095238</v>
      </c>
      <c r="K409" s="7">
        <v>139</v>
      </c>
      <c r="L409" s="11">
        <f t="shared" si="22"/>
        <v>0.59999999999999987</v>
      </c>
    </row>
    <row r="410" spans="2:12" x14ac:dyDescent="0.35">
      <c r="B410" s="2" t="s">
        <v>569</v>
      </c>
      <c r="C410" s="3">
        <v>100000351485</v>
      </c>
      <c r="D410" s="4">
        <v>184106</v>
      </c>
      <c r="E410" s="16">
        <v>4047443468314</v>
      </c>
      <c r="F410" s="2" t="s">
        <v>577</v>
      </c>
      <c r="G410" s="2" t="s">
        <v>637</v>
      </c>
      <c r="H410" s="6" t="s">
        <v>459</v>
      </c>
      <c r="I410" s="12">
        <f t="shared" si="21"/>
        <v>30.095238095238098</v>
      </c>
      <c r="J410" s="13">
        <f t="shared" si="20"/>
        <v>75.238095238095241</v>
      </c>
      <c r="K410" s="7">
        <v>79</v>
      </c>
      <c r="L410" s="11">
        <f t="shared" si="22"/>
        <v>0.6</v>
      </c>
    </row>
    <row r="411" spans="2:12" x14ac:dyDescent="0.35">
      <c r="B411" s="2" t="s">
        <v>569</v>
      </c>
      <c r="C411" s="3">
        <v>100000351487</v>
      </c>
      <c r="D411" s="4">
        <v>184107</v>
      </c>
      <c r="E411" s="16">
        <v>4047443468321</v>
      </c>
      <c r="F411" s="2" t="s">
        <v>577</v>
      </c>
      <c r="G411" s="2" t="s">
        <v>637</v>
      </c>
      <c r="H411" s="6" t="s">
        <v>460</v>
      </c>
      <c r="I411" s="12">
        <f t="shared" si="21"/>
        <v>30.095238095238098</v>
      </c>
      <c r="J411" s="13">
        <f t="shared" si="20"/>
        <v>75.238095238095241</v>
      </c>
      <c r="K411" s="7">
        <v>79</v>
      </c>
      <c r="L411" s="11">
        <f t="shared" si="22"/>
        <v>0.6</v>
      </c>
    </row>
    <row r="412" spans="2:12" x14ac:dyDescent="0.35">
      <c r="B412" s="2" t="s">
        <v>569</v>
      </c>
      <c r="C412" s="3">
        <v>100000351493</v>
      </c>
      <c r="D412" s="4">
        <v>184111</v>
      </c>
      <c r="E412" s="16">
        <v>4047443480354</v>
      </c>
      <c r="F412" s="2" t="s">
        <v>577</v>
      </c>
      <c r="G412" s="2" t="s">
        <v>637</v>
      </c>
      <c r="H412" s="6" t="s">
        <v>461</v>
      </c>
      <c r="I412" s="12">
        <f t="shared" si="21"/>
        <v>56.761904761904759</v>
      </c>
      <c r="J412" s="13">
        <f t="shared" si="20"/>
        <v>141.9047619047619</v>
      </c>
      <c r="K412" s="7">
        <v>149</v>
      </c>
      <c r="L412" s="11">
        <f t="shared" si="22"/>
        <v>0.6</v>
      </c>
    </row>
    <row r="413" spans="2:12" x14ac:dyDescent="0.35">
      <c r="B413" s="2" t="s">
        <v>569</v>
      </c>
      <c r="C413" s="3">
        <v>100000351494</v>
      </c>
      <c r="D413" s="4">
        <v>184112</v>
      </c>
      <c r="E413" s="16">
        <v>4047443480361</v>
      </c>
      <c r="F413" s="2" t="s">
        <v>577</v>
      </c>
      <c r="G413" s="2" t="s">
        <v>637</v>
      </c>
      <c r="H413" s="6" t="s">
        <v>462</v>
      </c>
      <c r="I413" s="12">
        <f t="shared" si="21"/>
        <v>56.761904761904759</v>
      </c>
      <c r="J413" s="13">
        <f t="shared" si="20"/>
        <v>141.9047619047619</v>
      </c>
      <c r="K413" s="7">
        <v>149</v>
      </c>
      <c r="L413" s="11">
        <f t="shared" si="22"/>
        <v>0.6</v>
      </c>
    </row>
    <row r="414" spans="2:12" x14ac:dyDescent="0.35">
      <c r="B414" s="2" t="s">
        <v>569</v>
      </c>
      <c r="C414" s="3">
        <v>100000351495</v>
      </c>
      <c r="D414" s="4">
        <v>40987</v>
      </c>
      <c r="E414" s="16">
        <v>4007249409874</v>
      </c>
      <c r="F414" s="2" t="s">
        <v>577</v>
      </c>
      <c r="G414" s="2" t="s">
        <v>637</v>
      </c>
      <c r="H414" s="6" t="s">
        <v>463</v>
      </c>
      <c r="I414" s="12">
        <f t="shared" si="21"/>
        <v>113.90476190476191</v>
      </c>
      <c r="J414" s="13">
        <f t="shared" si="20"/>
        <v>284.76190476190476</v>
      </c>
      <c r="K414" s="7">
        <v>299</v>
      </c>
      <c r="L414" s="11">
        <f t="shared" si="22"/>
        <v>0.59999999999999987</v>
      </c>
    </row>
    <row r="415" spans="2:12" x14ac:dyDescent="0.35">
      <c r="B415" s="2" t="s">
        <v>569</v>
      </c>
      <c r="C415" s="3">
        <v>100000351496</v>
      </c>
      <c r="D415" s="4">
        <v>137473</v>
      </c>
      <c r="E415" s="16">
        <v>4047443344281</v>
      </c>
      <c r="F415" s="2" t="s">
        <v>577</v>
      </c>
      <c r="G415" s="2" t="s">
        <v>637</v>
      </c>
      <c r="H415" s="6" t="s">
        <v>464</v>
      </c>
      <c r="I415" s="12">
        <f t="shared" si="21"/>
        <v>33.904761904761905</v>
      </c>
      <c r="J415" s="13">
        <f t="shared" si="20"/>
        <v>84.761904761904759</v>
      </c>
      <c r="K415" s="7">
        <v>89</v>
      </c>
      <c r="L415" s="11">
        <f t="shared" si="22"/>
        <v>0.6</v>
      </c>
    </row>
    <row r="416" spans="2:12" x14ac:dyDescent="0.35">
      <c r="B416" s="2" t="s">
        <v>569</v>
      </c>
      <c r="C416" s="3">
        <v>100000351497</v>
      </c>
      <c r="D416" s="4">
        <v>200352</v>
      </c>
      <c r="E416" s="16">
        <v>4047443437549</v>
      </c>
      <c r="F416" s="2" t="s">
        <v>577</v>
      </c>
      <c r="G416" s="2" t="s">
        <v>637</v>
      </c>
      <c r="H416" s="6" t="s">
        <v>465</v>
      </c>
      <c r="I416" s="12">
        <f t="shared" si="21"/>
        <v>7.2380952380952381</v>
      </c>
      <c r="J416" s="13">
        <f t="shared" si="20"/>
        <v>18.095238095238095</v>
      </c>
      <c r="K416" s="7">
        <v>19</v>
      </c>
      <c r="L416" s="11">
        <f t="shared" si="22"/>
        <v>0.60000000000000009</v>
      </c>
    </row>
    <row r="417" spans="2:12" x14ac:dyDescent="0.35">
      <c r="B417" s="2" t="s">
        <v>569</v>
      </c>
      <c r="C417" s="3">
        <v>100000364379</v>
      </c>
      <c r="D417" s="4" t="s">
        <v>619</v>
      </c>
      <c r="E417" s="16">
        <v>4007249293107</v>
      </c>
      <c r="F417" s="2" t="s">
        <v>577</v>
      </c>
      <c r="G417" s="2" t="s">
        <v>637</v>
      </c>
      <c r="H417" s="6" t="s">
        <v>466</v>
      </c>
      <c r="I417" s="12">
        <f t="shared" si="21"/>
        <v>68.19047619047619</v>
      </c>
      <c r="J417" s="13">
        <f t="shared" si="20"/>
        <v>170.47619047619048</v>
      </c>
      <c r="K417" s="7">
        <v>179</v>
      </c>
      <c r="L417" s="11">
        <f t="shared" si="22"/>
        <v>0.6</v>
      </c>
    </row>
    <row r="418" spans="2:12" x14ac:dyDescent="0.35">
      <c r="B418" s="2" t="s">
        <v>569</v>
      </c>
      <c r="C418" s="3">
        <v>100000364380</v>
      </c>
      <c r="D418" s="4">
        <v>184135</v>
      </c>
      <c r="E418" s="16">
        <v>4047443483027</v>
      </c>
      <c r="F418" s="2" t="s">
        <v>577</v>
      </c>
      <c r="G418" s="2" t="s">
        <v>637</v>
      </c>
      <c r="H418" s="6" t="s">
        <v>467</v>
      </c>
      <c r="I418" s="12">
        <f t="shared" si="21"/>
        <v>14.857142857142856</v>
      </c>
      <c r="J418" s="13">
        <f t="shared" si="20"/>
        <v>37.142857142857139</v>
      </c>
      <c r="K418" s="7">
        <v>39</v>
      </c>
      <c r="L418" s="11">
        <f t="shared" si="22"/>
        <v>0.60000000000000009</v>
      </c>
    </row>
    <row r="419" spans="2:12" x14ac:dyDescent="0.35">
      <c r="B419" s="2" t="s">
        <v>569</v>
      </c>
      <c r="C419" s="3">
        <v>100000364739</v>
      </c>
      <c r="D419" s="4">
        <v>184136</v>
      </c>
      <c r="E419" s="16">
        <v>4047443483034</v>
      </c>
      <c r="F419" s="2" t="s">
        <v>577</v>
      </c>
      <c r="G419" s="2" t="s">
        <v>637</v>
      </c>
      <c r="H419" s="6" t="s">
        <v>468</v>
      </c>
      <c r="I419" s="12">
        <f t="shared" si="21"/>
        <v>14.857142857142856</v>
      </c>
      <c r="J419" s="13">
        <f t="shared" si="20"/>
        <v>37.142857142857139</v>
      </c>
      <c r="K419" s="7">
        <v>39</v>
      </c>
      <c r="L419" s="11">
        <f t="shared" si="22"/>
        <v>0.60000000000000009</v>
      </c>
    </row>
    <row r="420" spans="2:12" x14ac:dyDescent="0.35">
      <c r="B420" s="2" t="s">
        <v>569</v>
      </c>
      <c r="C420" s="3">
        <v>100000364741</v>
      </c>
      <c r="D420" s="4">
        <v>184167</v>
      </c>
      <c r="E420" s="16">
        <v>4047443514394</v>
      </c>
      <c r="F420" s="2" t="s">
        <v>577</v>
      </c>
      <c r="G420" s="2" t="s">
        <v>637</v>
      </c>
      <c r="H420" s="6" t="s">
        <v>469</v>
      </c>
      <c r="I420" s="12">
        <f t="shared" si="21"/>
        <v>64.38095238095238</v>
      </c>
      <c r="J420" s="13">
        <f t="shared" si="20"/>
        <v>160.95238095238093</v>
      </c>
      <c r="K420" s="7">
        <v>169</v>
      </c>
      <c r="L420" s="11">
        <f t="shared" si="22"/>
        <v>0.6</v>
      </c>
    </row>
    <row r="421" spans="2:12" x14ac:dyDescent="0.35">
      <c r="B421" s="2" t="s">
        <v>569</v>
      </c>
      <c r="C421" s="3">
        <v>100000364381</v>
      </c>
      <c r="D421" s="4">
        <v>184168</v>
      </c>
      <c r="E421" s="16">
        <v>4047443514400</v>
      </c>
      <c r="F421" s="2" t="s">
        <v>577</v>
      </c>
      <c r="G421" s="2" t="s">
        <v>637</v>
      </c>
      <c r="H421" s="6" t="s">
        <v>470</v>
      </c>
      <c r="I421" s="12">
        <f t="shared" si="21"/>
        <v>64.38095238095238</v>
      </c>
      <c r="J421" s="13">
        <f t="shared" si="20"/>
        <v>160.95238095238093</v>
      </c>
      <c r="K421" s="7">
        <v>169</v>
      </c>
      <c r="L421" s="11">
        <f t="shared" si="22"/>
        <v>0.6</v>
      </c>
    </row>
    <row r="422" spans="2:12" x14ac:dyDescent="0.35">
      <c r="B422" s="2" t="s">
        <v>569</v>
      </c>
      <c r="C422" s="3">
        <v>100000364740</v>
      </c>
      <c r="D422" s="4">
        <v>184169</v>
      </c>
      <c r="E422" s="16">
        <v>4047443514417</v>
      </c>
      <c r="F422" s="2" t="s">
        <v>577</v>
      </c>
      <c r="G422" s="2" t="s">
        <v>637</v>
      </c>
      <c r="H422" s="6" t="s">
        <v>471</v>
      </c>
      <c r="I422" s="12">
        <f t="shared" si="21"/>
        <v>64.38095238095238</v>
      </c>
      <c r="J422" s="13">
        <f t="shared" si="20"/>
        <v>160.95238095238093</v>
      </c>
      <c r="K422" s="7">
        <v>169</v>
      </c>
      <c r="L422" s="11">
        <f t="shared" si="22"/>
        <v>0.6</v>
      </c>
    </row>
    <row r="423" spans="2:12" x14ac:dyDescent="0.35">
      <c r="B423" s="2" t="s">
        <v>569</v>
      </c>
      <c r="C423" s="3">
        <v>100000364735</v>
      </c>
      <c r="D423" s="4" t="s">
        <v>620</v>
      </c>
      <c r="E423" s="16">
        <v>4047443492241</v>
      </c>
      <c r="F423" s="2" t="s">
        <v>577</v>
      </c>
      <c r="G423" s="2" t="s">
        <v>637</v>
      </c>
      <c r="H423" s="6" t="s">
        <v>472</v>
      </c>
      <c r="I423" s="12">
        <f t="shared" si="21"/>
        <v>41.523809523809526</v>
      </c>
      <c r="J423" s="13">
        <f t="shared" si="20"/>
        <v>103.80952380952381</v>
      </c>
      <c r="K423" s="7">
        <v>109</v>
      </c>
      <c r="L423" s="11">
        <f t="shared" si="22"/>
        <v>0.6</v>
      </c>
    </row>
    <row r="424" spans="2:12" x14ac:dyDescent="0.35">
      <c r="B424" s="2" t="s">
        <v>569</v>
      </c>
      <c r="C424" s="3">
        <v>100000364736</v>
      </c>
      <c r="D424" s="4" t="s">
        <v>621</v>
      </c>
      <c r="E424" s="16">
        <v>4047443492265</v>
      </c>
      <c r="F424" s="2" t="s">
        <v>577</v>
      </c>
      <c r="G424" s="2" t="s">
        <v>637</v>
      </c>
      <c r="H424" s="6" t="s">
        <v>473</v>
      </c>
      <c r="I424" s="12">
        <f t="shared" si="21"/>
        <v>41.523809523809526</v>
      </c>
      <c r="J424" s="13">
        <f t="shared" si="20"/>
        <v>103.80952380952381</v>
      </c>
      <c r="K424" s="7">
        <v>109</v>
      </c>
      <c r="L424" s="11">
        <f t="shared" si="22"/>
        <v>0.6</v>
      </c>
    </row>
    <row r="425" spans="2:12" x14ac:dyDescent="0.35">
      <c r="B425" s="2" t="s">
        <v>569</v>
      </c>
      <c r="C425" s="3">
        <v>100000364737</v>
      </c>
      <c r="D425" s="4" t="s">
        <v>622</v>
      </c>
      <c r="E425" s="16">
        <v>4047443492258</v>
      </c>
      <c r="F425" s="2" t="s">
        <v>577</v>
      </c>
      <c r="G425" s="2" t="s">
        <v>637</v>
      </c>
      <c r="H425" s="6" t="s">
        <v>474</v>
      </c>
      <c r="I425" s="12">
        <f t="shared" si="21"/>
        <v>37.714285714285715</v>
      </c>
      <c r="J425" s="13">
        <f t="shared" si="20"/>
        <v>94.285714285714278</v>
      </c>
      <c r="K425" s="7">
        <v>99</v>
      </c>
      <c r="L425" s="11">
        <f t="shared" si="22"/>
        <v>0.6</v>
      </c>
    </row>
    <row r="426" spans="2:12" x14ac:dyDescent="0.35">
      <c r="B426" s="2" t="s">
        <v>569</v>
      </c>
      <c r="C426" s="3">
        <v>100000364738</v>
      </c>
      <c r="D426" s="4" t="s">
        <v>623</v>
      </c>
      <c r="E426" s="16">
        <v>4047443492050</v>
      </c>
      <c r="F426" s="2" t="s">
        <v>577</v>
      </c>
      <c r="G426" s="2" t="s">
        <v>637</v>
      </c>
      <c r="H426" s="6" t="s">
        <v>475</v>
      </c>
      <c r="I426" s="12">
        <f t="shared" si="21"/>
        <v>37.714285714285715</v>
      </c>
      <c r="J426" s="13">
        <f t="shared" si="20"/>
        <v>94.285714285714278</v>
      </c>
      <c r="K426" s="7">
        <v>99</v>
      </c>
      <c r="L426" s="11">
        <f t="shared" si="22"/>
        <v>0.6</v>
      </c>
    </row>
    <row r="427" spans="2:12" x14ac:dyDescent="0.35">
      <c r="B427" s="2" t="s">
        <v>569</v>
      </c>
      <c r="C427" s="3">
        <v>100000358865</v>
      </c>
      <c r="D427" s="4">
        <v>184145</v>
      </c>
      <c r="E427" s="16">
        <v>4047443483690</v>
      </c>
      <c r="F427" s="2" t="s">
        <v>577</v>
      </c>
      <c r="G427" s="2" t="s">
        <v>637</v>
      </c>
      <c r="H427" s="6" t="s">
        <v>476</v>
      </c>
      <c r="I427" s="12">
        <f t="shared" si="21"/>
        <v>18.666666666666668</v>
      </c>
      <c r="J427" s="13">
        <f t="shared" si="20"/>
        <v>46.666666666666664</v>
      </c>
      <c r="K427" s="7">
        <v>49</v>
      </c>
      <c r="L427" s="11">
        <f t="shared" si="22"/>
        <v>0.6</v>
      </c>
    </row>
    <row r="428" spans="2:12" x14ac:dyDescent="0.35">
      <c r="B428" s="2" t="s">
        <v>569</v>
      </c>
      <c r="C428" s="3">
        <v>100000368003</v>
      </c>
      <c r="D428" s="4">
        <v>184179</v>
      </c>
      <c r="E428" s="16">
        <v>4047443514431</v>
      </c>
      <c r="F428" s="2" t="s">
        <v>577</v>
      </c>
      <c r="G428" s="2" t="s">
        <v>637</v>
      </c>
      <c r="H428" s="6" t="s">
        <v>477</v>
      </c>
      <c r="I428" s="12">
        <f t="shared" si="21"/>
        <v>87.238095238095241</v>
      </c>
      <c r="J428" s="13">
        <f t="shared" si="20"/>
        <v>218.09523809523807</v>
      </c>
      <c r="K428" s="7">
        <v>229</v>
      </c>
      <c r="L428" s="11">
        <f t="shared" si="22"/>
        <v>0.6</v>
      </c>
    </row>
    <row r="429" spans="2:12" x14ac:dyDescent="0.35">
      <c r="B429" s="2" t="s">
        <v>569</v>
      </c>
      <c r="C429" s="3">
        <v>100000368004</v>
      </c>
      <c r="D429" s="4">
        <v>184178</v>
      </c>
      <c r="E429" s="16">
        <v>4047443514424</v>
      </c>
      <c r="F429" s="2" t="s">
        <v>577</v>
      </c>
      <c r="G429" s="2" t="s">
        <v>637</v>
      </c>
      <c r="H429" s="6" t="s">
        <v>478</v>
      </c>
      <c r="I429" s="12">
        <f t="shared" si="21"/>
        <v>87.238095238095241</v>
      </c>
      <c r="J429" s="13">
        <f t="shared" si="20"/>
        <v>218.09523809523807</v>
      </c>
      <c r="K429" s="7">
        <v>229</v>
      </c>
      <c r="L429" s="11">
        <f t="shared" si="22"/>
        <v>0.6</v>
      </c>
    </row>
    <row r="430" spans="2:12" x14ac:dyDescent="0.35">
      <c r="B430" s="2" t="s">
        <v>569</v>
      </c>
      <c r="C430" s="3">
        <v>100000368005</v>
      </c>
      <c r="D430" s="4">
        <v>14171</v>
      </c>
      <c r="E430" s="16">
        <v>4007249141712</v>
      </c>
      <c r="F430" s="2" t="s">
        <v>577</v>
      </c>
      <c r="G430" s="2" t="s">
        <v>637</v>
      </c>
      <c r="H430" s="6" t="s">
        <v>479</v>
      </c>
      <c r="I430" s="12">
        <f t="shared" si="21"/>
        <v>49.142857142857139</v>
      </c>
      <c r="J430" s="13">
        <f t="shared" si="20"/>
        <v>122.85714285714285</v>
      </c>
      <c r="K430" s="7">
        <v>129</v>
      </c>
      <c r="L430" s="11">
        <f t="shared" si="22"/>
        <v>0.6</v>
      </c>
    </row>
    <row r="431" spans="2:12" x14ac:dyDescent="0.35">
      <c r="B431" s="2" t="s">
        <v>569</v>
      </c>
      <c r="C431" s="3">
        <v>100000455174</v>
      </c>
      <c r="D431" s="4">
        <v>126807</v>
      </c>
      <c r="E431" s="16">
        <v>4047443514899</v>
      </c>
      <c r="F431" s="2" t="s">
        <v>575</v>
      </c>
      <c r="G431" s="2" t="s">
        <v>637</v>
      </c>
      <c r="H431" s="6" t="s">
        <v>548</v>
      </c>
      <c r="I431" s="12">
        <f t="shared" ref="I431:I494" si="23">0.4*J431</f>
        <v>45.333333333333336</v>
      </c>
      <c r="J431" s="13">
        <f t="shared" si="20"/>
        <v>113.33333333333333</v>
      </c>
      <c r="K431" s="7">
        <v>119</v>
      </c>
      <c r="L431" s="11">
        <f t="shared" ref="L431:L494" si="24">(J431-I431)/J431</f>
        <v>0.6</v>
      </c>
    </row>
    <row r="432" spans="2:12" x14ac:dyDescent="0.35">
      <c r="B432" s="2" t="s">
        <v>569</v>
      </c>
      <c r="C432" s="3">
        <v>100000455179</v>
      </c>
      <c r="D432" s="4">
        <v>126806</v>
      </c>
      <c r="E432" s="16">
        <v>4047443514882</v>
      </c>
      <c r="F432" s="2" t="s">
        <v>575</v>
      </c>
      <c r="G432" s="2" t="s">
        <v>637</v>
      </c>
      <c r="H432" s="6" t="s">
        <v>549</v>
      </c>
      <c r="I432" s="12">
        <f t="shared" si="23"/>
        <v>37.714285714285715</v>
      </c>
      <c r="J432" s="13">
        <f t="shared" si="20"/>
        <v>94.285714285714278</v>
      </c>
      <c r="K432" s="7">
        <v>99</v>
      </c>
      <c r="L432" s="11">
        <f t="shared" si="24"/>
        <v>0.6</v>
      </c>
    </row>
    <row r="433" spans="2:12" x14ac:dyDescent="0.35">
      <c r="B433" s="2" t="s">
        <v>569</v>
      </c>
      <c r="C433" s="3">
        <v>100000364244</v>
      </c>
      <c r="D433" s="4">
        <v>201719</v>
      </c>
      <c r="E433" s="16">
        <v>4047443514813</v>
      </c>
      <c r="F433" s="2" t="s">
        <v>573</v>
      </c>
      <c r="G433" s="2" t="s">
        <v>637</v>
      </c>
      <c r="H433" s="6" t="s">
        <v>550</v>
      </c>
      <c r="I433" s="12">
        <f t="shared" si="23"/>
        <v>72</v>
      </c>
      <c r="J433" s="13">
        <f t="shared" si="20"/>
        <v>180</v>
      </c>
      <c r="K433" s="7">
        <v>189</v>
      </c>
      <c r="L433" s="11">
        <f t="shared" si="24"/>
        <v>0.6</v>
      </c>
    </row>
    <row r="434" spans="2:12" x14ac:dyDescent="0.35">
      <c r="B434" s="2" t="s">
        <v>569</v>
      </c>
      <c r="C434" s="3">
        <v>100000370338</v>
      </c>
      <c r="D434" s="4" t="s">
        <v>631</v>
      </c>
      <c r="E434" s="16">
        <v>4047443523846</v>
      </c>
      <c r="F434" s="2" t="s">
        <v>575</v>
      </c>
      <c r="G434" s="2" t="s">
        <v>637</v>
      </c>
      <c r="H434" s="6" t="s">
        <v>551</v>
      </c>
      <c r="I434" s="12">
        <f t="shared" si="23"/>
        <v>56.761904761904759</v>
      </c>
      <c r="J434" s="13">
        <f t="shared" si="20"/>
        <v>141.9047619047619</v>
      </c>
      <c r="K434" s="7">
        <v>149</v>
      </c>
      <c r="L434" s="11">
        <f t="shared" si="24"/>
        <v>0.6</v>
      </c>
    </row>
    <row r="435" spans="2:12" x14ac:dyDescent="0.35">
      <c r="B435" s="2" t="s">
        <v>569</v>
      </c>
      <c r="C435" s="3">
        <v>100000455182</v>
      </c>
      <c r="D435" s="4">
        <v>222078</v>
      </c>
      <c r="E435" s="16">
        <v>4047443524713</v>
      </c>
      <c r="F435" s="2" t="s">
        <v>575</v>
      </c>
      <c r="G435" s="2" t="s">
        <v>637</v>
      </c>
      <c r="H435" s="6" t="s">
        <v>552</v>
      </c>
      <c r="I435" s="12">
        <f t="shared" si="23"/>
        <v>64.38095238095238</v>
      </c>
      <c r="J435" s="13">
        <f t="shared" si="20"/>
        <v>160.95238095238093</v>
      </c>
      <c r="K435" s="7">
        <v>169</v>
      </c>
      <c r="L435" s="11">
        <f t="shared" si="24"/>
        <v>0.6</v>
      </c>
    </row>
    <row r="436" spans="2:12" x14ac:dyDescent="0.35">
      <c r="B436" s="2" t="s">
        <v>569</v>
      </c>
      <c r="C436" s="3">
        <v>100000455183</v>
      </c>
      <c r="D436" s="4">
        <v>227050</v>
      </c>
      <c r="E436" s="16">
        <v>4047443527134</v>
      </c>
      <c r="F436" s="2" t="s">
        <v>575</v>
      </c>
      <c r="G436" s="2" t="s">
        <v>637</v>
      </c>
      <c r="H436" s="6" t="s">
        <v>553</v>
      </c>
      <c r="I436" s="12">
        <f t="shared" si="23"/>
        <v>64.38095238095238</v>
      </c>
      <c r="J436" s="13">
        <f t="shared" si="20"/>
        <v>160.95238095238093</v>
      </c>
      <c r="K436" s="7">
        <v>169</v>
      </c>
      <c r="L436" s="11">
        <f t="shared" si="24"/>
        <v>0.6</v>
      </c>
    </row>
    <row r="437" spans="2:12" x14ac:dyDescent="0.35">
      <c r="B437" s="2" t="s">
        <v>569</v>
      </c>
      <c r="C437" s="3">
        <v>100000460795</v>
      </c>
      <c r="D437" s="4">
        <v>201710</v>
      </c>
      <c r="E437" s="16">
        <v>4047443514721</v>
      </c>
      <c r="F437" s="2" t="s">
        <v>573</v>
      </c>
      <c r="G437" s="2" t="s">
        <v>637</v>
      </c>
      <c r="H437" s="6" t="s">
        <v>554</v>
      </c>
      <c r="I437" s="12">
        <f t="shared" si="23"/>
        <v>56.761904761904759</v>
      </c>
      <c r="J437" s="13">
        <f t="shared" si="20"/>
        <v>141.9047619047619</v>
      </c>
      <c r="K437" s="7">
        <v>149</v>
      </c>
      <c r="L437" s="11">
        <f t="shared" si="24"/>
        <v>0.6</v>
      </c>
    </row>
    <row r="438" spans="2:12" x14ac:dyDescent="0.35">
      <c r="B438" s="2" t="s">
        <v>569</v>
      </c>
      <c r="C438" s="3">
        <v>100000460796</v>
      </c>
      <c r="D438" s="4">
        <v>201632</v>
      </c>
      <c r="E438" s="16">
        <v>4047443489821</v>
      </c>
      <c r="F438" s="2" t="s">
        <v>573</v>
      </c>
      <c r="G438" s="2" t="s">
        <v>637</v>
      </c>
      <c r="H438" s="6" t="s">
        <v>555</v>
      </c>
      <c r="I438" s="12">
        <f t="shared" si="23"/>
        <v>49.142857142857139</v>
      </c>
      <c r="J438" s="13">
        <f t="shared" si="20"/>
        <v>122.85714285714285</v>
      </c>
      <c r="K438" s="7">
        <v>129</v>
      </c>
      <c r="L438" s="11">
        <f t="shared" si="24"/>
        <v>0.6</v>
      </c>
    </row>
    <row r="439" spans="2:12" x14ac:dyDescent="0.35">
      <c r="B439" s="2" t="s">
        <v>569</v>
      </c>
      <c r="C439" s="3">
        <v>100000460797</v>
      </c>
      <c r="D439" s="4">
        <v>201721</v>
      </c>
      <c r="E439" s="16">
        <v>4047443517821</v>
      </c>
      <c r="F439" s="2" t="s">
        <v>573</v>
      </c>
      <c r="G439" s="2" t="s">
        <v>637</v>
      </c>
      <c r="H439" s="6" t="s">
        <v>556</v>
      </c>
      <c r="I439" s="12">
        <f t="shared" si="23"/>
        <v>37.714285714285715</v>
      </c>
      <c r="J439" s="13">
        <f t="shared" si="20"/>
        <v>94.285714285714278</v>
      </c>
      <c r="K439" s="7">
        <v>99</v>
      </c>
      <c r="L439" s="11">
        <f t="shared" si="24"/>
        <v>0.6</v>
      </c>
    </row>
    <row r="440" spans="2:12" x14ac:dyDescent="0.35">
      <c r="B440" s="2" t="s">
        <v>569</v>
      </c>
      <c r="C440" s="3">
        <v>100000460798</v>
      </c>
      <c r="D440" s="4">
        <v>201728</v>
      </c>
      <c r="E440" s="16">
        <v>4047443532015</v>
      </c>
      <c r="F440" s="2" t="s">
        <v>573</v>
      </c>
      <c r="G440" s="2" t="s">
        <v>637</v>
      </c>
      <c r="H440" s="6" t="s">
        <v>557</v>
      </c>
      <c r="I440" s="12">
        <f t="shared" si="23"/>
        <v>18.666666666666668</v>
      </c>
      <c r="J440" s="13">
        <f t="shared" si="20"/>
        <v>46.666666666666664</v>
      </c>
      <c r="K440" s="7">
        <v>49</v>
      </c>
      <c r="L440" s="11">
        <f t="shared" si="24"/>
        <v>0.6</v>
      </c>
    </row>
    <row r="441" spans="2:12" x14ac:dyDescent="0.35">
      <c r="B441" s="2" t="s">
        <v>569</v>
      </c>
      <c r="C441" s="3">
        <v>100000460799</v>
      </c>
      <c r="D441" s="4">
        <v>201547</v>
      </c>
      <c r="E441" s="16">
        <v>4047443487070</v>
      </c>
      <c r="F441" s="2" t="s">
        <v>573</v>
      </c>
      <c r="G441" s="2" t="s">
        <v>637</v>
      </c>
      <c r="H441" s="6" t="s">
        <v>558</v>
      </c>
      <c r="I441" s="12">
        <f t="shared" si="23"/>
        <v>18.666666666666668</v>
      </c>
      <c r="J441" s="13">
        <f t="shared" si="20"/>
        <v>46.666666666666664</v>
      </c>
      <c r="K441" s="7">
        <v>49</v>
      </c>
      <c r="L441" s="11">
        <f t="shared" si="24"/>
        <v>0.6</v>
      </c>
    </row>
    <row r="442" spans="2:12" x14ac:dyDescent="0.35">
      <c r="B442" s="2" t="s">
        <v>569</v>
      </c>
      <c r="C442" s="3">
        <v>100000460800</v>
      </c>
      <c r="D442" s="4">
        <v>201740</v>
      </c>
      <c r="E442" s="16">
        <v>4047443536396</v>
      </c>
      <c r="F442" s="2" t="s">
        <v>573</v>
      </c>
      <c r="G442" s="2" t="s">
        <v>637</v>
      </c>
      <c r="H442" s="6" t="s">
        <v>559</v>
      </c>
      <c r="I442" s="12">
        <f t="shared" si="23"/>
        <v>30.095238095238098</v>
      </c>
      <c r="J442" s="13">
        <f t="shared" si="20"/>
        <v>75.238095238095241</v>
      </c>
      <c r="K442" s="7">
        <v>79</v>
      </c>
      <c r="L442" s="11">
        <f t="shared" si="24"/>
        <v>0.6</v>
      </c>
    </row>
    <row r="443" spans="2:12" x14ac:dyDescent="0.35">
      <c r="B443" s="2" t="s">
        <v>569</v>
      </c>
      <c r="C443" s="3">
        <v>100000460801</v>
      </c>
      <c r="D443" s="4">
        <v>201749</v>
      </c>
      <c r="E443" s="16">
        <v>4047443540225</v>
      </c>
      <c r="F443" s="2" t="s">
        <v>573</v>
      </c>
      <c r="G443" s="2" t="s">
        <v>637</v>
      </c>
      <c r="H443" s="6" t="s">
        <v>560</v>
      </c>
      <c r="I443" s="12">
        <f t="shared" si="23"/>
        <v>33.904761904761905</v>
      </c>
      <c r="J443" s="13">
        <f t="shared" si="20"/>
        <v>84.761904761904759</v>
      </c>
      <c r="K443" s="7">
        <v>89</v>
      </c>
      <c r="L443" s="11">
        <f t="shared" si="24"/>
        <v>0.6</v>
      </c>
    </row>
    <row r="444" spans="2:12" x14ac:dyDescent="0.35">
      <c r="B444" s="2" t="s">
        <v>569</v>
      </c>
      <c r="C444" s="3">
        <v>100000364247</v>
      </c>
      <c r="D444" s="4">
        <v>201662</v>
      </c>
      <c r="E444" s="16">
        <v>4047443486578</v>
      </c>
      <c r="F444" s="2" t="s">
        <v>573</v>
      </c>
      <c r="G444" s="2" t="s">
        <v>637</v>
      </c>
      <c r="H444" s="6" t="s">
        <v>561</v>
      </c>
      <c r="I444" s="12">
        <f t="shared" si="23"/>
        <v>49.142857142857139</v>
      </c>
      <c r="J444" s="13">
        <f t="shared" si="20"/>
        <v>122.85714285714285</v>
      </c>
      <c r="K444" s="7">
        <v>129</v>
      </c>
      <c r="L444" s="11">
        <f t="shared" si="24"/>
        <v>0.6</v>
      </c>
    </row>
    <row r="445" spans="2:12" x14ac:dyDescent="0.35">
      <c r="B445" s="2" t="s">
        <v>569</v>
      </c>
      <c r="C445" s="3">
        <v>100000370340</v>
      </c>
      <c r="D445" s="4">
        <v>201702</v>
      </c>
      <c r="E445" s="16">
        <v>4047443510495</v>
      </c>
      <c r="F445" s="2" t="s">
        <v>573</v>
      </c>
      <c r="G445" s="2" t="s">
        <v>637</v>
      </c>
      <c r="H445" s="6" t="s">
        <v>562</v>
      </c>
      <c r="I445" s="12">
        <f t="shared" si="23"/>
        <v>37.714285714285715</v>
      </c>
      <c r="J445" s="13">
        <f t="shared" si="20"/>
        <v>94.285714285714278</v>
      </c>
      <c r="K445" s="7">
        <v>99</v>
      </c>
      <c r="L445" s="11">
        <f t="shared" si="24"/>
        <v>0.6</v>
      </c>
    </row>
    <row r="446" spans="2:12" x14ac:dyDescent="0.35">
      <c r="B446" s="2" t="s">
        <v>569</v>
      </c>
      <c r="C446" s="3" t="s">
        <v>638</v>
      </c>
      <c r="D446" s="4">
        <v>185815</v>
      </c>
      <c r="E446" s="5">
        <v>4047443516800</v>
      </c>
      <c r="F446" s="2" t="s">
        <v>573</v>
      </c>
      <c r="G446" s="2" t="s">
        <v>639</v>
      </c>
      <c r="H446" s="20" t="s">
        <v>643</v>
      </c>
      <c r="I446" s="12">
        <f t="shared" si="23"/>
        <v>49.142857142857139</v>
      </c>
      <c r="J446" s="13">
        <f t="shared" si="20"/>
        <v>122.85714285714285</v>
      </c>
      <c r="K446" s="19">
        <v>129</v>
      </c>
      <c r="L446" s="11">
        <f t="shared" si="24"/>
        <v>0.6</v>
      </c>
    </row>
    <row r="447" spans="2:12" x14ac:dyDescent="0.35">
      <c r="B447" s="2" t="s">
        <v>569</v>
      </c>
      <c r="C447" s="3" t="s">
        <v>638</v>
      </c>
      <c r="D447" s="4">
        <v>201576</v>
      </c>
      <c r="E447" s="5">
        <v>4047443487094</v>
      </c>
      <c r="F447" s="2" t="s">
        <v>573</v>
      </c>
      <c r="G447" s="2" t="s">
        <v>639</v>
      </c>
      <c r="H447" s="20" t="s">
        <v>644</v>
      </c>
      <c r="I447" s="12">
        <f t="shared" si="23"/>
        <v>18.666666666666668</v>
      </c>
      <c r="J447" s="13">
        <f t="shared" si="20"/>
        <v>46.666666666666664</v>
      </c>
      <c r="K447" s="18">
        <v>49</v>
      </c>
      <c r="L447" s="11">
        <f t="shared" si="24"/>
        <v>0.6</v>
      </c>
    </row>
    <row r="448" spans="2:12" x14ac:dyDescent="0.35">
      <c r="B448" s="2" t="s">
        <v>569</v>
      </c>
      <c r="C448" s="3" t="s">
        <v>638</v>
      </c>
      <c r="D448" s="4">
        <v>201605</v>
      </c>
      <c r="E448" s="5">
        <v>4047443487230</v>
      </c>
      <c r="F448" s="2" t="s">
        <v>573</v>
      </c>
      <c r="G448" s="2" t="s">
        <v>639</v>
      </c>
      <c r="H448" s="20" t="s">
        <v>645</v>
      </c>
      <c r="I448" s="12">
        <f t="shared" si="23"/>
        <v>11.047619047619047</v>
      </c>
      <c r="J448" s="13">
        <f t="shared" si="20"/>
        <v>27.619047619047617</v>
      </c>
      <c r="K448" s="18">
        <v>29</v>
      </c>
      <c r="L448" s="11">
        <f t="shared" si="24"/>
        <v>0.6</v>
      </c>
    </row>
    <row r="449" spans="2:12" x14ac:dyDescent="0.35">
      <c r="B449" s="2" t="s">
        <v>569</v>
      </c>
      <c r="C449" s="3" t="s">
        <v>638</v>
      </c>
      <c r="D449" s="4">
        <v>201722</v>
      </c>
      <c r="E449" s="5">
        <v>4047443517890</v>
      </c>
      <c r="F449" s="2" t="s">
        <v>573</v>
      </c>
      <c r="G449" s="2" t="s">
        <v>639</v>
      </c>
      <c r="H449" s="20" t="s">
        <v>646</v>
      </c>
      <c r="I449" s="12">
        <f t="shared" si="23"/>
        <v>49.142857142857139</v>
      </c>
      <c r="J449" s="13">
        <f t="shared" si="20"/>
        <v>122.85714285714285</v>
      </c>
      <c r="K449" s="18">
        <v>129</v>
      </c>
      <c r="L449" s="11">
        <f t="shared" si="24"/>
        <v>0.6</v>
      </c>
    </row>
    <row r="450" spans="2:12" x14ac:dyDescent="0.35">
      <c r="B450" s="2" t="s">
        <v>569</v>
      </c>
      <c r="C450" s="3" t="s">
        <v>638</v>
      </c>
      <c r="D450" s="4">
        <v>201723</v>
      </c>
      <c r="E450" s="5">
        <v>4047443518095</v>
      </c>
      <c r="F450" s="2" t="s">
        <v>573</v>
      </c>
      <c r="G450" s="2" t="s">
        <v>639</v>
      </c>
      <c r="H450" s="20" t="s">
        <v>647</v>
      </c>
      <c r="I450" s="12">
        <f t="shared" si="23"/>
        <v>37.714285714285715</v>
      </c>
      <c r="J450" s="13">
        <f t="shared" si="20"/>
        <v>94.285714285714278</v>
      </c>
      <c r="K450" s="18">
        <v>99</v>
      </c>
      <c r="L450" s="11">
        <f t="shared" si="24"/>
        <v>0.6</v>
      </c>
    </row>
    <row r="451" spans="2:12" x14ac:dyDescent="0.35">
      <c r="B451" s="2" t="s">
        <v>569</v>
      </c>
      <c r="C451" s="3" t="s">
        <v>638</v>
      </c>
      <c r="D451" s="4">
        <v>201726</v>
      </c>
      <c r="E451" s="5">
        <v>4047443531995</v>
      </c>
      <c r="F451" s="2" t="s">
        <v>573</v>
      </c>
      <c r="G451" s="2" t="s">
        <v>639</v>
      </c>
      <c r="H451" s="20" t="s">
        <v>648</v>
      </c>
      <c r="I451" s="12">
        <f t="shared" si="23"/>
        <v>18.666666666666668</v>
      </c>
      <c r="J451" s="13">
        <f t="shared" ref="J451:J494" si="25">K451/(1+5%)</f>
        <v>46.666666666666664</v>
      </c>
      <c r="K451" s="18">
        <v>49</v>
      </c>
      <c r="L451" s="11">
        <f t="shared" si="24"/>
        <v>0.6</v>
      </c>
    </row>
    <row r="452" spans="2:12" x14ac:dyDescent="0.35">
      <c r="B452" s="2" t="s">
        <v>569</v>
      </c>
      <c r="C452" s="3" t="s">
        <v>638</v>
      </c>
      <c r="D452" s="4">
        <v>201727</v>
      </c>
      <c r="E452" s="5">
        <v>4047443532008</v>
      </c>
      <c r="F452" s="2" t="s">
        <v>573</v>
      </c>
      <c r="G452" s="2" t="s">
        <v>639</v>
      </c>
      <c r="H452" s="20" t="s">
        <v>649</v>
      </c>
      <c r="I452" s="12">
        <f t="shared" si="23"/>
        <v>18.666666666666668</v>
      </c>
      <c r="J452" s="13">
        <f t="shared" si="25"/>
        <v>46.666666666666664</v>
      </c>
      <c r="K452" s="18">
        <v>49</v>
      </c>
      <c r="L452" s="11">
        <f t="shared" si="24"/>
        <v>0.6</v>
      </c>
    </row>
    <row r="453" spans="2:12" x14ac:dyDescent="0.35">
      <c r="B453" s="2" t="s">
        <v>569</v>
      </c>
      <c r="C453" s="3" t="s">
        <v>638</v>
      </c>
      <c r="D453" s="4">
        <v>201747</v>
      </c>
      <c r="E453" s="5">
        <v>4047443538338</v>
      </c>
      <c r="F453" s="2" t="s">
        <v>573</v>
      </c>
      <c r="G453" s="2" t="s">
        <v>639</v>
      </c>
      <c r="H453" s="20" t="s">
        <v>650</v>
      </c>
      <c r="I453" s="12">
        <f t="shared" si="23"/>
        <v>37.714285714285715</v>
      </c>
      <c r="J453" s="13">
        <f t="shared" si="25"/>
        <v>94.285714285714278</v>
      </c>
      <c r="K453" s="18">
        <v>99</v>
      </c>
      <c r="L453" s="11">
        <f t="shared" si="24"/>
        <v>0.6</v>
      </c>
    </row>
    <row r="454" spans="2:12" x14ac:dyDescent="0.35">
      <c r="B454" s="2" t="s">
        <v>569</v>
      </c>
      <c r="C454" s="3" t="s">
        <v>638</v>
      </c>
      <c r="D454" s="4">
        <v>201748</v>
      </c>
      <c r="E454" s="5">
        <v>4047443538345</v>
      </c>
      <c r="F454" s="2" t="s">
        <v>573</v>
      </c>
      <c r="G454" s="2" t="s">
        <v>639</v>
      </c>
      <c r="H454" s="20" t="s">
        <v>651</v>
      </c>
      <c r="I454" s="12">
        <f t="shared" si="23"/>
        <v>60.571428571428569</v>
      </c>
      <c r="J454" s="13">
        <f t="shared" si="25"/>
        <v>151.42857142857142</v>
      </c>
      <c r="K454" s="18">
        <v>159</v>
      </c>
      <c r="L454" s="11">
        <f t="shared" si="24"/>
        <v>0.6</v>
      </c>
    </row>
    <row r="455" spans="2:12" x14ac:dyDescent="0.35">
      <c r="B455" s="2" t="s">
        <v>569</v>
      </c>
      <c r="C455" s="3" t="s">
        <v>638</v>
      </c>
      <c r="D455" s="4">
        <v>221750</v>
      </c>
      <c r="E455" s="5">
        <v>4047443524850</v>
      </c>
      <c r="F455" s="2" t="s">
        <v>573</v>
      </c>
      <c r="G455" s="2" t="s">
        <v>639</v>
      </c>
      <c r="H455" s="20" t="s">
        <v>652</v>
      </c>
      <c r="I455" s="12">
        <f t="shared" si="23"/>
        <v>22.476190476190478</v>
      </c>
      <c r="J455" s="13">
        <f t="shared" si="25"/>
        <v>56.19047619047619</v>
      </c>
      <c r="K455" s="18">
        <v>59</v>
      </c>
      <c r="L455" s="11">
        <f t="shared" si="24"/>
        <v>0.59999999999999987</v>
      </c>
    </row>
    <row r="456" spans="2:12" x14ac:dyDescent="0.35">
      <c r="B456" s="2" t="s">
        <v>569</v>
      </c>
      <c r="C456" s="3" t="s">
        <v>638</v>
      </c>
      <c r="D456" s="4">
        <v>221751</v>
      </c>
      <c r="E456" s="5">
        <v>4047443524942</v>
      </c>
      <c r="F456" s="2" t="s">
        <v>573</v>
      </c>
      <c r="G456" s="2" t="s">
        <v>639</v>
      </c>
      <c r="H456" s="20" t="s">
        <v>653</v>
      </c>
      <c r="I456" s="12">
        <f t="shared" si="23"/>
        <v>22.476190476190478</v>
      </c>
      <c r="J456" s="13">
        <f t="shared" si="25"/>
        <v>56.19047619047619</v>
      </c>
      <c r="K456" s="18">
        <v>59</v>
      </c>
      <c r="L456" s="11">
        <f t="shared" si="24"/>
        <v>0.59999999999999987</v>
      </c>
    </row>
    <row r="457" spans="2:12" x14ac:dyDescent="0.35">
      <c r="B457" s="2" t="s">
        <v>569</v>
      </c>
      <c r="C457" s="3" t="s">
        <v>638</v>
      </c>
      <c r="D457" s="4">
        <v>125120</v>
      </c>
      <c r="E457" s="5">
        <v>4047443499585</v>
      </c>
      <c r="F457" s="2" t="s">
        <v>573</v>
      </c>
      <c r="G457" s="2" t="s">
        <v>639</v>
      </c>
      <c r="H457" s="20" t="s">
        <v>654</v>
      </c>
      <c r="I457" s="12">
        <f t="shared" si="23"/>
        <v>45.333333333333336</v>
      </c>
      <c r="J457" s="13">
        <f t="shared" si="25"/>
        <v>113.33333333333333</v>
      </c>
      <c r="K457" s="18">
        <v>119</v>
      </c>
      <c r="L457" s="11">
        <f t="shared" si="24"/>
        <v>0.6</v>
      </c>
    </row>
    <row r="458" spans="2:12" x14ac:dyDescent="0.35">
      <c r="B458" s="2" t="s">
        <v>569</v>
      </c>
      <c r="C458" s="3" t="s">
        <v>638</v>
      </c>
      <c r="D458" s="4">
        <v>200311</v>
      </c>
      <c r="E458" s="5">
        <v>4047443437129</v>
      </c>
      <c r="F458" s="2" t="s">
        <v>573</v>
      </c>
      <c r="G458" s="2" t="s">
        <v>639</v>
      </c>
      <c r="H458" s="20" t="s">
        <v>655</v>
      </c>
      <c r="I458" s="12">
        <f t="shared" si="23"/>
        <v>7.2380952380952381</v>
      </c>
      <c r="J458" s="13">
        <f t="shared" si="25"/>
        <v>18.095238095238095</v>
      </c>
      <c r="K458" s="18">
        <v>19</v>
      </c>
      <c r="L458" s="11">
        <f t="shared" si="24"/>
        <v>0.60000000000000009</v>
      </c>
    </row>
    <row r="459" spans="2:12" x14ac:dyDescent="0.35">
      <c r="B459" s="2" t="s">
        <v>569</v>
      </c>
      <c r="C459" s="3" t="s">
        <v>638</v>
      </c>
      <c r="D459" s="4">
        <v>201502</v>
      </c>
      <c r="E459" s="5">
        <v>4047443488619</v>
      </c>
      <c r="F459" s="2" t="s">
        <v>573</v>
      </c>
      <c r="G459" s="2" t="s">
        <v>639</v>
      </c>
      <c r="H459" s="20" t="s">
        <v>656</v>
      </c>
      <c r="I459" s="12">
        <f t="shared" si="23"/>
        <v>26.285714285714285</v>
      </c>
      <c r="J459" s="13">
        <f t="shared" si="25"/>
        <v>65.714285714285708</v>
      </c>
      <c r="K459" s="18">
        <v>69</v>
      </c>
      <c r="L459" s="11">
        <f t="shared" si="24"/>
        <v>0.6</v>
      </c>
    </row>
    <row r="460" spans="2:12" x14ac:dyDescent="0.35">
      <c r="B460" s="2" t="s">
        <v>569</v>
      </c>
      <c r="C460" s="3" t="s">
        <v>638</v>
      </c>
      <c r="D460" s="4">
        <v>201591</v>
      </c>
      <c r="E460" s="5">
        <v>4047443486790</v>
      </c>
      <c r="F460" s="2" t="s">
        <v>573</v>
      </c>
      <c r="G460" s="2" t="s">
        <v>639</v>
      </c>
      <c r="H460" s="20" t="s">
        <v>657</v>
      </c>
      <c r="I460" s="12">
        <f t="shared" si="23"/>
        <v>11.047619047619047</v>
      </c>
      <c r="J460" s="13">
        <f t="shared" si="25"/>
        <v>27.619047619047617</v>
      </c>
      <c r="K460" s="18">
        <v>29</v>
      </c>
      <c r="L460" s="11">
        <f t="shared" si="24"/>
        <v>0.6</v>
      </c>
    </row>
    <row r="461" spans="2:12" x14ac:dyDescent="0.35">
      <c r="B461" s="2" t="s">
        <v>569</v>
      </c>
      <c r="C461" s="3" t="s">
        <v>638</v>
      </c>
      <c r="D461" s="4">
        <v>201638</v>
      </c>
      <c r="E461" s="5">
        <v>4047443489524</v>
      </c>
      <c r="F461" s="2" t="s">
        <v>573</v>
      </c>
      <c r="G461" s="2" t="s">
        <v>639</v>
      </c>
      <c r="H461" s="20" t="s">
        <v>658</v>
      </c>
      <c r="I461" s="12">
        <f t="shared" si="23"/>
        <v>30.095238095238098</v>
      </c>
      <c r="J461" s="13">
        <f t="shared" si="25"/>
        <v>75.238095238095241</v>
      </c>
      <c r="K461" s="18">
        <v>79</v>
      </c>
      <c r="L461" s="11">
        <f t="shared" si="24"/>
        <v>0.6</v>
      </c>
    </row>
    <row r="462" spans="2:12" x14ac:dyDescent="0.35">
      <c r="B462" s="2" t="s">
        <v>569</v>
      </c>
      <c r="C462" s="3" t="s">
        <v>638</v>
      </c>
      <c r="D462" s="4">
        <v>201711</v>
      </c>
      <c r="E462" s="5">
        <v>4047443514738</v>
      </c>
      <c r="F462" s="2" t="s">
        <v>573</v>
      </c>
      <c r="G462" s="2" t="s">
        <v>639</v>
      </c>
      <c r="H462" s="20" t="s">
        <v>659</v>
      </c>
      <c r="I462" s="12">
        <f t="shared" si="23"/>
        <v>113.90476190476191</v>
      </c>
      <c r="J462" s="13">
        <f t="shared" si="25"/>
        <v>284.76190476190476</v>
      </c>
      <c r="K462" s="18">
        <v>299</v>
      </c>
      <c r="L462" s="11">
        <f t="shared" si="24"/>
        <v>0.59999999999999987</v>
      </c>
    </row>
    <row r="463" spans="2:12" x14ac:dyDescent="0.35">
      <c r="B463" s="2" t="s">
        <v>569</v>
      </c>
      <c r="C463" s="3" t="s">
        <v>638</v>
      </c>
      <c r="D463" s="4">
        <v>201716</v>
      </c>
      <c r="E463" s="5">
        <v>4047443514783</v>
      </c>
      <c r="F463" s="2" t="s">
        <v>573</v>
      </c>
      <c r="G463" s="2" t="s">
        <v>639</v>
      </c>
      <c r="H463" s="20" t="s">
        <v>660</v>
      </c>
      <c r="I463" s="12">
        <f t="shared" si="23"/>
        <v>64.38095238095238</v>
      </c>
      <c r="J463" s="13">
        <f t="shared" si="25"/>
        <v>160.95238095238093</v>
      </c>
      <c r="K463" s="18">
        <v>169</v>
      </c>
      <c r="L463" s="11">
        <f t="shared" si="24"/>
        <v>0.6</v>
      </c>
    </row>
    <row r="464" spans="2:12" x14ac:dyDescent="0.35">
      <c r="B464" s="2" t="s">
        <v>569</v>
      </c>
      <c r="C464" s="3" t="s">
        <v>638</v>
      </c>
      <c r="D464" s="4">
        <v>201718</v>
      </c>
      <c r="E464" s="5">
        <v>4047443514806</v>
      </c>
      <c r="F464" s="2" t="s">
        <v>573</v>
      </c>
      <c r="G464" s="2" t="s">
        <v>639</v>
      </c>
      <c r="H464" s="20" t="s">
        <v>661</v>
      </c>
      <c r="I464" s="12">
        <f t="shared" si="23"/>
        <v>49.142857142857139</v>
      </c>
      <c r="J464" s="13">
        <f t="shared" si="25"/>
        <v>122.85714285714285</v>
      </c>
      <c r="K464" s="18">
        <v>129</v>
      </c>
      <c r="L464" s="11">
        <f t="shared" si="24"/>
        <v>0.6</v>
      </c>
    </row>
    <row r="465" spans="2:12" x14ac:dyDescent="0.35">
      <c r="B465" s="2" t="s">
        <v>569</v>
      </c>
      <c r="C465" s="3" t="s">
        <v>638</v>
      </c>
      <c r="D465" s="4">
        <v>73210290</v>
      </c>
      <c r="E465" s="5">
        <v>4047443497505</v>
      </c>
      <c r="F465" s="2" t="s">
        <v>573</v>
      </c>
      <c r="G465" s="2" t="s">
        <v>639</v>
      </c>
      <c r="H465" s="20" t="s">
        <v>662</v>
      </c>
      <c r="I465" s="12">
        <f t="shared" si="23"/>
        <v>26.285714285714285</v>
      </c>
      <c r="J465" s="13">
        <f t="shared" si="25"/>
        <v>65.714285714285708</v>
      </c>
      <c r="K465" s="18">
        <v>69</v>
      </c>
      <c r="L465" s="11">
        <f t="shared" si="24"/>
        <v>0.6</v>
      </c>
    </row>
    <row r="466" spans="2:12" x14ac:dyDescent="0.35">
      <c r="B466" s="2" t="s">
        <v>569</v>
      </c>
      <c r="C466" s="3" t="s">
        <v>638</v>
      </c>
      <c r="D466" s="4">
        <v>73210295</v>
      </c>
      <c r="E466" s="5">
        <v>4047443499363</v>
      </c>
      <c r="F466" s="2" t="s">
        <v>573</v>
      </c>
      <c r="G466" s="2" t="s">
        <v>639</v>
      </c>
      <c r="H466" s="20" t="s">
        <v>663</v>
      </c>
      <c r="I466" s="12">
        <f t="shared" si="23"/>
        <v>49.142857142857139</v>
      </c>
      <c r="J466" s="13">
        <f t="shared" si="25"/>
        <v>122.85714285714285</v>
      </c>
      <c r="K466" s="18">
        <v>129</v>
      </c>
      <c r="L466" s="11">
        <f t="shared" si="24"/>
        <v>0.6</v>
      </c>
    </row>
    <row r="467" spans="2:12" x14ac:dyDescent="0.35">
      <c r="B467" s="2" t="s">
        <v>569</v>
      </c>
      <c r="C467" s="3">
        <v>100000463750</v>
      </c>
      <c r="D467" s="4">
        <v>173072</v>
      </c>
      <c r="E467" s="5">
        <v>4047443537218</v>
      </c>
      <c r="F467" s="2" t="s">
        <v>575</v>
      </c>
      <c r="G467" s="2" t="s">
        <v>637</v>
      </c>
      <c r="H467" s="20" t="s">
        <v>664</v>
      </c>
      <c r="I467" s="12">
        <f t="shared" si="23"/>
        <v>9.5238095238095237</v>
      </c>
      <c r="J467" s="13">
        <f t="shared" si="25"/>
        <v>23.80952380952381</v>
      </c>
      <c r="K467" s="18">
        <v>25</v>
      </c>
      <c r="L467" s="11">
        <f t="shared" si="24"/>
        <v>0.6</v>
      </c>
    </row>
    <row r="468" spans="2:12" x14ac:dyDescent="0.35">
      <c r="B468" s="2" t="s">
        <v>569</v>
      </c>
      <c r="C468" s="3">
        <v>100000463752</v>
      </c>
      <c r="D468" s="4">
        <v>173073</v>
      </c>
      <c r="E468" s="5">
        <v>4047443537249</v>
      </c>
      <c r="F468" s="2" t="s">
        <v>575</v>
      </c>
      <c r="G468" s="2" t="s">
        <v>637</v>
      </c>
      <c r="H468" s="20" t="s">
        <v>665</v>
      </c>
      <c r="I468" s="12">
        <f t="shared" si="23"/>
        <v>14.857142857142856</v>
      </c>
      <c r="J468" s="13">
        <f t="shared" si="25"/>
        <v>37.142857142857139</v>
      </c>
      <c r="K468" s="18">
        <v>39</v>
      </c>
      <c r="L468" s="11">
        <f t="shared" si="24"/>
        <v>0.60000000000000009</v>
      </c>
    </row>
    <row r="469" spans="2:12" x14ac:dyDescent="0.35">
      <c r="B469" s="2" t="s">
        <v>569</v>
      </c>
      <c r="C469" s="3">
        <v>100000463753</v>
      </c>
      <c r="D469" s="4">
        <v>173075</v>
      </c>
      <c r="E469" s="5">
        <v>4047443537263</v>
      </c>
      <c r="F469" s="2" t="s">
        <v>575</v>
      </c>
      <c r="G469" s="2" t="s">
        <v>637</v>
      </c>
      <c r="H469" s="20" t="s">
        <v>666</v>
      </c>
      <c r="I469" s="12">
        <f t="shared" si="23"/>
        <v>18.666666666666668</v>
      </c>
      <c r="J469" s="13">
        <f t="shared" si="25"/>
        <v>46.666666666666664</v>
      </c>
      <c r="K469" s="18">
        <v>49</v>
      </c>
      <c r="L469" s="11">
        <f t="shared" si="24"/>
        <v>0.6</v>
      </c>
    </row>
    <row r="470" spans="2:12" x14ac:dyDescent="0.35">
      <c r="B470" s="2" t="s">
        <v>569</v>
      </c>
      <c r="C470" s="3">
        <v>100000463754</v>
      </c>
      <c r="D470" s="4">
        <v>173076</v>
      </c>
      <c r="E470" s="5">
        <v>4047443537270</v>
      </c>
      <c r="F470" s="2" t="s">
        <v>575</v>
      </c>
      <c r="G470" s="2" t="s">
        <v>637</v>
      </c>
      <c r="H470" s="20" t="s">
        <v>667</v>
      </c>
      <c r="I470" s="12">
        <f t="shared" si="23"/>
        <v>18.666666666666668</v>
      </c>
      <c r="J470" s="13">
        <f t="shared" si="25"/>
        <v>46.666666666666664</v>
      </c>
      <c r="K470" s="18">
        <v>49</v>
      </c>
      <c r="L470" s="11">
        <f t="shared" si="24"/>
        <v>0.6</v>
      </c>
    </row>
    <row r="471" spans="2:12" x14ac:dyDescent="0.35">
      <c r="B471" s="2" t="s">
        <v>569</v>
      </c>
      <c r="C471" s="3">
        <v>100000463755</v>
      </c>
      <c r="D471" s="4">
        <v>173077</v>
      </c>
      <c r="E471" s="5">
        <v>4047443537287</v>
      </c>
      <c r="F471" s="2" t="s">
        <v>575</v>
      </c>
      <c r="G471" s="2" t="s">
        <v>637</v>
      </c>
      <c r="H471" s="6" t="s">
        <v>668</v>
      </c>
      <c r="I471" s="12">
        <f t="shared" si="23"/>
        <v>26.285714285714285</v>
      </c>
      <c r="J471" s="13">
        <f t="shared" si="25"/>
        <v>65.714285714285708</v>
      </c>
      <c r="K471" s="18">
        <v>69</v>
      </c>
      <c r="L471" s="11">
        <f t="shared" si="24"/>
        <v>0.6</v>
      </c>
    </row>
    <row r="472" spans="2:12" x14ac:dyDescent="0.35">
      <c r="B472" s="2" t="s">
        <v>569</v>
      </c>
      <c r="C472" s="3">
        <v>100000463756</v>
      </c>
      <c r="D472" s="4">
        <v>173078</v>
      </c>
      <c r="E472" s="5">
        <v>4047443537294</v>
      </c>
      <c r="F472" s="2" t="s">
        <v>575</v>
      </c>
      <c r="G472" s="2" t="s">
        <v>637</v>
      </c>
      <c r="H472" s="20" t="s">
        <v>669</v>
      </c>
      <c r="I472" s="12">
        <f t="shared" si="23"/>
        <v>26.285714285714285</v>
      </c>
      <c r="J472" s="13">
        <f t="shared" si="25"/>
        <v>65.714285714285708</v>
      </c>
      <c r="K472" s="18">
        <v>69</v>
      </c>
      <c r="L472" s="11">
        <f t="shared" si="24"/>
        <v>0.6</v>
      </c>
    </row>
    <row r="473" spans="2:12" x14ac:dyDescent="0.35">
      <c r="B473" s="2" t="s">
        <v>569</v>
      </c>
      <c r="C473" s="3">
        <v>100000463757</v>
      </c>
      <c r="D473" s="4">
        <v>173079</v>
      </c>
      <c r="E473" s="5">
        <v>4047443537355</v>
      </c>
      <c r="F473" s="2" t="s">
        <v>575</v>
      </c>
      <c r="G473" s="2" t="s">
        <v>637</v>
      </c>
      <c r="H473" s="20" t="s">
        <v>670</v>
      </c>
      <c r="I473" s="12">
        <f t="shared" si="23"/>
        <v>30.095238095238098</v>
      </c>
      <c r="J473" s="13">
        <f t="shared" si="25"/>
        <v>75.238095238095241</v>
      </c>
      <c r="K473" s="18">
        <v>79</v>
      </c>
      <c r="L473" s="11">
        <f t="shared" si="24"/>
        <v>0.6</v>
      </c>
    </row>
    <row r="474" spans="2:12" x14ac:dyDescent="0.35">
      <c r="B474" s="2" t="s">
        <v>569</v>
      </c>
      <c r="C474" s="3">
        <v>100000463758</v>
      </c>
      <c r="D474" s="4">
        <v>173081</v>
      </c>
      <c r="E474" s="5">
        <v>4047443537409</v>
      </c>
      <c r="F474" s="2" t="s">
        <v>575</v>
      </c>
      <c r="G474" s="2" t="s">
        <v>637</v>
      </c>
      <c r="H474" s="20" t="s">
        <v>671</v>
      </c>
      <c r="I474" s="12">
        <f t="shared" si="23"/>
        <v>49.142857142857139</v>
      </c>
      <c r="J474" s="13">
        <f t="shared" si="25"/>
        <v>122.85714285714285</v>
      </c>
      <c r="K474" s="18">
        <v>129</v>
      </c>
      <c r="L474" s="11">
        <f t="shared" si="24"/>
        <v>0.6</v>
      </c>
    </row>
    <row r="475" spans="2:12" x14ac:dyDescent="0.35">
      <c r="B475" s="2" t="s">
        <v>569</v>
      </c>
      <c r="C475" s="3">
        <v>100000463759</v>
      </c>
      <c r="D475" s="4">
        <v>173082</v>
      </c>
      <c r="E475" s="5">
        <v>4047443537416</v>
      </c>
      <c r="F475" s="2" t="s">
        <v>575</v>
      </c>
      <c r="G475" s="2" t="s">
        <v>637</v>
      </c>
      <c r="H475" s="20" t="s">
        <v>672</v>
      </c>
      <c r="I475" s="12">
        <f t="shared" si="23"/>
        <v>49.142857142857139</v>
      </c>
      <c r="J475" s="13">
        <f t="shared" si="25"/>
        <v>122.85714285714285</v>
      </c>
      <c r="K475" s="18">
        <v>129</v>
      </c>
      <c r="L475" s="11">
        <f t="shared" si="24"/>
        <v>0.6</v>
      </c>
    </row>
    <row r="476" spans="2:12" x14ac:dyDescent="0.35">
      <c r="B476" s="2" t="s">
        <v>569</v>
      </c>
      <c r="C476" s="3">
        <v>100000463760</v>
      </c>
      <c r="D476" s="4">
        <v>173088</v>
      </c>
      <c r="E476" s="5">
        <v>4047443537478</v>
      </c>
      <c r="F476" s="2" t="s">
        <v>575</v>
      </c>
      <c r="G476" s="2" t="s">
        <v>637</v>
      </c>
      <c r="H476" s="20" t="s">
        <v>673</v>
      </c>
      <c r="I476" s="12">
        <f t="shared" si="23"/>
        <v>45.333333333333336</v>
      </c>
      <c r="J476" s="13">
        <f t="shared" si="25"/>
        <v>113.33333333333333</v>
      </c>
      <c r="K476" s="18">
        <v>119</v>
      </c>
      <c r="L476" s="11">
        <f t="shared" si="24"/>
        <v>0.6</v>
      </c>
    </row>
    <row r="477" spans="2:12" x14ac:dyDescent="0.35">
      <c r="B477" s="2" t="s">
        <v>569</v>
      </c>
      <c r="C477" s="3">
        <v>100000463761</v>
      </c>
      <c r="D477" s="4">
        <v>173097</v>
      </c>
      <c r="E477" s="5">
        <v>4047443537546</v>
      </c>
      <c r="F477" s="2" t="s">
        <v>575</v>
      </c>
      <c r="G477" s="2" t="s">
        <v>637</v>
      </c>
      <c r="H477" s="20" t="s">
        <v>674</v>
      </c>
      <c r="I477" s="12">
        <f t="shared" si="23"/>
        <v>106.28571428571429</v>
      </c>
      <c r="J477" s="13">
        <f t="shared" si="25"/>
        <v>265.71428571428572</v>
      </c>
      <c r="K477" s="18">
        <v>279</v>
      </c>
      <c r="L477" s="11">
        <f t="shared" si="24"/>
        <v>0.60000000000000009</v>
      </c>
    </row>
    <row r="478" spans="2:12" x14ac:dyDescent="0.35">
      <c r="B478" s="2" t="s">
        <v>569</v>
      </c>
      <c r="C478" s="3">
        <v>100000463762</v>
      </c>
      <c r="D478" s="4">
        <v>200117</v>
      </c>
      <c r="E478" s="5">
        <v>4047443458070</v>
      </c>
      <c r="F478" s="2" t="s">
        <v>575</v>
      </c>
      <c r="G478" s="2" t="s">
        <v>637</v>
      </c>
      <c r="H478" s="20" t="s">
        <v>675</v>
      </c>
      <c r="I478" s="12">
        <f t="shared" si="23"/>
        <v>26.285714285714285</v>
      </c>
      <c r="J478" s="13">
        <f t="shared" si="25"/>
        <v>65.714285714285708</v>
      </c>
      <c r="K478" s="18">
        <v>69</v>
      </c>
      <c r="L478" s="11">
        <f t="shared" si="24"/>
        <v>0.6</v>
      </c>
    </row>
    <row r="479" spans="2:12" x14ac:dyDescent="0.35">
      <c r="B479" s="2" t="s">
        <v>569</v>
      </c>
      <c r="C479" s="3">
        <v>100000463763</v>
      </c>
      <c r="D479" s="4">
        <v>200141</v>
      </c>
      <c r="E479" s="5">
        <v>4047443497666</v>
      </c>
      <c r="F479" s="2" t="s">
        <v>575</v>
      </c>
      <c r="G479" s="2" t="s">
        <v>637</v>
      </c>
      <c r="H479" s="20" t="s">
        <v>676</v>
      </c>
      <c r="I479" s="12">
        <f t="shared" si="23"/>
        <v>22.476190476190478</v>
      </c>
      <c r="J479" s="13">
        <f t="shared" si="25"/>
        <v>56.19047619047619</v>
      </c>
      <c r="K479" s="18">
        <v>59</v>
      </c>
      <c r="L479" s="11">
        <f t="shared" si="24"/>
        <v>0.59999999999999987</v>
      </c>
    </row>
    <row r="480" spans="2:12" x14ac:dyDescent="0.35">
      <c r="B480" s="2" t="s">
        <v>569</v>
      </c>
      <c r="C480" s="3">
        <v>100000463764</v>
      </c>
      <c r="D480" s="4">
        <v>200325</v>
      </c>
      <c r="E480" s="5">
        <v>4047443437266</v>
      </c>
      <c r="F480" s="2" t="s">
        <v>575</v>
      </c>
      <c r="G480" s="2" t="s">
        <v>637</v>
      </c>
      <c r="H480" s="20" t="s">
        <v>677</v>
      </c>
      <c r="I480" s="12">
        <f t="shared" si="23"/>
        <v>49.142857142857139</v>
      </c>
      <c r="J480" s="13">
        <f t="shared" si="25"/>
        <v>122.85714285714285</v>
      </c>
      <c r="K480" s="18">
        <v>129</v>
      </c>
      <c r="L480" s="11">
        <f t="shared" si="24"/>
        <v>0.6</v>
      </c>
    </row>
    <row r="481" spans="2:12" x14ac:dyDescent="0.35">
      <c r="B481" s="2" t="s">
        <v>569</v>
      </c>
      <c r="C481" s="3">
        <v>100000463765</v>
      </c>
      <c r="D481" s="4">
        <v>200628</v>
      </c>
      <c r="E481" s="5">
        <v>4047443443830</v>
      </c>
      <c r="F481" s="2" t="s">
        <v>575</v>
      </c>
      <c r="G481" s="2" t="s">
        <v>637</v>
      </c>
      <c r="H481" s="6" t="s">
        <v>678</v>
      </c>
      <c r="I481" s="12">
        <f t="shared" si="23"/>
        <v>11.047619047619047</v>
      </c>
      <c r="J481" s="13">
        <f t="shared" si="25"/>
        <v>27.619047619047617</v>
      </c>
      <c r="K481" s="18">
        <v>29</v>
      </c>
      <c r="L481" s="11">
        <f t="shared" si="24"/>
        <v>0.6</v>
      </c>
    </row>
    <row r="482" spans="2:12" x14ac:dyDescent="0.35">
      <c r="B482" s="2" t="s">
        <v>569</v>
      </c>
      <c r="C482" s="3">
        <v>100000463766</v>
      </c>
      <c r="D482" s="4">
        <v>217115</v>
      </c>
      <c r="E482" s="5">
        <v>4047443472007</v>
      </c>
      <c r="F482" s="2" t="s">
        <v>575</v>
      </c>
      <c r="G482" s="2" t="s">
        <v>637</v>
      </c>
      <c r="H482" s="20" t="s">
        <v>679</v>
      </c>
      <c r="I482" s="12">
        <f t="shared" si="23"/>
        <v>33.904761904761905</v>
      </c>
      <c r="J482" s="13">
        <f t="shared" si="25"/>
        <v>84.761904761904759</v>
      </c>
      <c r="K482" s="18">
        <v>89</v>
      </c>
      <c r="L482" s="11">
        <f t="shared" si="24"/>
        <v>0.6</v>
      </c>
    </row>
    <row r="483" spans="2:12" x14ac:dyDescent="0.35">
      <c r="B483" s="2" t="s">
        <v>569</v>
      </c>
      <c r="C483" s="3">
        <v>100000463767</v>
      </c>
      <c r="D483" s="4">
        <v>227055</v>
      </c>
      <c r="E483" s="5">
        <v>4047443530882</v>
      </c>
      <c r="F483" s="2" t="s">
        <v>575</v>
      </c>
      <c r="G483" s="2" t="s">
        <v>637</v>
      </c>
      <c r="H483" s="20" t="s">
        <v>680</v>
      </c>
      <c r="I483" s="12">
        <f t="shared" si="23"/>
        <v>75.80952380952381</v>
      </c>
      <c r="J483" s="13">
        <f t="shared" si="25"/>
        <v>189.52380952380952</v>
      </c>
      <c r="K483" s="18">
        <v>199</v>
      </c>
      <c r="L483" s="11">
        <f t="shared" si="24"/>
        <v>0.6</v>
      </c>
    </row>
    <row r="484" spans="2:12" x14ac:dyDescent="0.35">
      <c r="B484" s="2" t="s">
        <v>569</v>
      </c>
      <c r="C484" s="3">
        <v>100000463768</v>
      </c>
      <c r="D484" s="4">
        <v>200929</v>
      </c>
      <c r="E484" s="5">
        <v>4047443442666</v>
      </c>
      <c r="F484" s="2" t="s">
        <v>575</v>
      </c>
      <c r="G484" s="2" t="s">
        <v>637</v>
      </c>
      <c r="H484" s="20" t="s">
        <v>681</v>
      </c>
      <c r="I484" s="12">
        <f t="shared" si="23"/>
        <v>7.2380952380952381</v>
      </c>
      <c r="J484" s="13">
        <f t="shared" si="25"/>
        <v>18.095238095238095</v>
      </c>
      <c r="K484" s="18">
        <v>19</v>
      </c>
      <c r="L484" s="11">
        <f t="shared" si="24"/>
        <v>0.60000000000000009</v>
      </c>
    </row>
    <row r="485" spans="2:12" x14ac:dyDescent="0.35">
      <c r="B485" s="2" t="s">
        <v>569</v>
      </c>
      <c r="C485" s="3">
        <v>100000463769</v>
      </c>
      <c r="D485" s="4">
        <v>173021</v>
      </c>
      <c r="E485" s="5">
        <v>4047443479709</v>
      </c>
      <c r="F485" s="2" t="s">
        <v>575</v>
      </c>
      <c r="G485" s="2" t="s">
        <v>637</v>
      </c>
      <c r="H485" s="20" t="s">
        <v>682</v>
      </c>
      <c r="I485" s="12">
        <f t="shared" si="23"/>
        <v>18.666666666666668</v>
      </c>
      <c r="J485" s="13">
        <f t="shared" si="25"/>
        <v>46.666666666666664</v>
      </c>
      <c r="K485" s="18">
        <v>49</v>
      </c>
      <c r="L485" s="11">
        <f t="shared" si="24"/>
        <v>0.6</v>
      </c>
    </row>
    <row r="486" spans="2:12" x14ac:dyDescent="0.35">
      <c r="B486" s="2" t="s">
        <v>569</v>
      </c>
      <c r="C486" s="3">
        <v>100000463770</v>
      </c>
      <c r="D486" s="4">
        <v>173027</v>
      </c>
      <c r="E486" s="5">
        <v>4047443479761</v>
      </c>
      <c r="F486" s="2" t="s">
        <v>575</v>
      </c>
      <c r="G486" s="2" t="s">
        <v>637</v>
      </c>
      <c r="H486" s="20" t="s">
        <v>683</v>
      </c>
      <c r="I486" s="12">
        <f t="shared" si="23"/>
        <v>22.476190476190478</v>
      </c>
      <c r="J486" s="13">
        <f t="shared" si="25"/>
        <v>56.19047619047619</v>
      </c>
      <c r="K486" s="18">
        <v>59</v>
      </c>
      <c r="L486" s="11">
        <f t="shared" si="24"/>
        <v>0.59999999999999987</v>
      </c>
    </row>
    <row r="487" spans="2:12" x14ac:dyDescent="0.35">
      <c r="B487" s="2" t="s">
        <v>569</v>
      </c>
      <c r="C487" s="3">
        <v>100000463771</v>
      </c>
      <c r="D487" s="4">
        <v>173028</v>
      </c>
      <c r="E487" s="5">
        <v>4047443479778</v>
      </c>
      <c r="F487" s="2" t="s">
        <v>575</v>
      </c>
      <c r="G487" s="2" t="s">
        <v>637</v>
      </c>
      <c r="H487" s="20" t="s">
        <v>684</v>
      </c>
      <c r="I487" s="12">
        <f t="shared" si="23"/>
        <v>22.476190476190478</v>
      </c>
      <c r="J487" s="13">
        <f t="shared" si="25"/>
        <v>56.19047619047619</v>
      </c>
      <c r="K487" s="18">
        <v>59</v>
      </c>
      <c r="L487" s="11">
        <f t="shared" si="24"/>
        <v>0.59999999999999987</v>
      </c>
    </row>
    <row r="488" spans="2:12" x14ac:dyDescent="0.35">
      <c r="B488" s="2" t="s">
        <v>569</v>
      </c>
      <c r="C488" s="3">
        <v>100000463772</v>
      </c>
      <c r="D488" s="4">
        <v>173034</v>
      </c>
      <c r="E488" s="5">
        <v>4047443500816</v>
      </c>
      <c r="F488" s="2" t="s">
        <v>575</v>
      </c>
      <c r="G488" s="2" t="s">
        <v>637</v>
      </c>
      <c r="H488" s="20" t="s">
        <v>685</v>
      </c>
      <c r="I488" s="12">
        <f t="shared" si="23"/>
        <v>37.714285714285715</v>
      </c>
      <c r="J488" s="13">
        <f t="shared" si="25"/>
        <v>94.285714285714278</v>
      </c>
      <c r="K488" s="18">
        <v>99</v>
      </c>
      <c r="L488" s="11">
        <f t="shared" si="24"/>
        <v>0.6</v>
      </c>
    </row>
    <row r="489" spans="2:12" x14ac:dyDescent="0.35">
      <c r="B489" s="2" t="s">
        <v>569</v>
      </c>
      <c r="C489" s="3">
        <v>100000463773</v>
      </c>
      <c r="D489" s="4">
        <v>222033</v>
      </c>
      <c r="E489" s="5">
        <v>4047443518378</v>
      </c>
      <c r="F489" s="2" t="s">
        <v>575</v>
      </c>
      <c r="G489" s="2" t="s">
        <v>637</v>
      </c>
      <c r="H489" s="20" t="s">
        <v>686</v>
      </c>
      <c r="I489" s="12">
        <f t="shared" si="23"/>
        <v>26.285714285714285</v>
      </c>
      <c r="J489" s="13">
        <f t="shared" si="25"/>
        <v>65.714285714285708</v>
      </c>
      <c r="K489" s="18">
        <v>69</v>
      </c>
      <c r="L489" s="11">
        <f t="shared" si="24"/>
        <v>0.6</v>
      </c>
    </row>
    <row r="490" spans="2:12" x14ac:dyDescent="0.35">
      <c r="B490" s="2" t="s">
        <v>569</v>
      </c>
      <c r="C490" s="3">
        <v>100000463774</v>
      </c>
      <c r="D490" s="4">
        <v>222035</v>
      </c>
      <c r="E490" s="5">
        <v>4047443518392</v>
      </c>
      <c r="F490" s="2" t="s">
        <v>575</v>
      </c>
      <c r="G490" s="2" t="s">
        <v>637</v>
      </c>
      <c r="H490" s="20" t="s">
        <v>687</v>
      </c>
      <c r="I490" s="12">
        <f t="shared" si="23"/>
        <v>26.285714285714285</v>
      </c>
      <c r="J490" s="13">
        <f t="shared" si="25"/>
        <v>65.714285714285708</v>
      </c>
      <c r="K490" s="18">
        <v>69</v>
      </c>
      <c r="L490" s="11">
        <f t="shared" si="24"/>
        <v>0.6</v>
      </c>
    </row>
    <row r="491" spans="2:12" x14ac:dyDescent="0.35">
      <c r="B491" s="2" t="s">
        <v>569</v>
      </c>
      <c r="C491" s="3">
        <v>100000463775</v>
      </c>
      <c r="D491" s="4">
        <v>222045</v>
      </c>
      <c r="E491" s="5">
        <v>4047443518507</v>
      </c>
      <c r="F491" s="2" t="s">
        <v>575</v>
      </c>
      <c r="G491" s="2" t="s">
        <v>637</v>
      </c>
      <c r="H491" s="20" t="s">
        <v>688</v>
      </c>
      <c r="I491" s="12">
        <f t="shared" si="23"/>
        <v>94.857142857142861</v>
      </c>
      <c r="J491" s="13">
        <f t="shared" si="25"/>
        <v>237.14285714285714</v>
      </c>
      <c r="K491" s="18">
        <v>249</v>
      </c>
      <c r="L491" s="11">
        <f t="shared" si="24"/>
        <v>0.6</v>
      </c>
    </row>
    <row r="492" spans="2:12" x14ac:dyDescent="0.35">
      <c r="B492" s="2" t="s">
        <v>569</v>
      </c>
      <c r="C492" s="3">
        <v>100000463777</v>
      </c>
      <c r="D492" s="4">
        <v>222050</v>
      </c>
      <c r="E492" s="5">
        <v>4047443520081</v>
      </c>
      <c r="F492" s="2" t="s">
        <v>575</v>
      </c>
      <c r="G492" s="2" t="s">
        <v>637</v>
      </c>
      <c r="H492" s="20" t="s">
        <v>689</v>
      </c>
      <c r="I492" s="12">
        <f t="shared" si="23"/>
        <v>64.38095238095238</v>
      </c>
      <c r="J492" s="13">
        <f t="shared" si="25"/>
        <v>160.95238095238093</v>
      </c>
      <c r="K492" s="18">
        <v>169</v>
      </c>
      <c r="L492" s="11">
        <f t="shared" si="24"/>
        <v>0.6</v>
      </c>
    </row>
    <row r="493" spans="2:12" x14ac:dyDescent="0.35">
      <c r="B493" s="2" t="s">
        <v>569</v>
      </c>
      <c r="C493" s="3">
        <v>100000463776</v>
      </c>
      <c r="D493" s="4">
        <v>222056</v>
      </c>
      <c r="E493" s="5">
        <v>4047443520142</v>
      </c>
      <c r="F493" s="2" t="s">
        <v>575</v>
      </c>
      <c r="G493" s="2" t="s">
        <v>637</v>
      </c>
      <c r="H493" s="20" t="s">
        <v>690</v>
      </c>
      <c r="I493" s="12">
        <f t="shared" si="23"/>
        <v>75.80952380952381</v>
      </c>
      <c r="J493" s="13">
        <f t="shared" si="25"/>
        <v>189.52380952380952</v>
      </c>
      <c r="K493" s="18">
        <v>199</v>
      </c>
      <c r="L493" s="11">
        <f t="shared" si="24"/>
        <v>0.6</v>
      </c>
    </row>
    <row r="494" spans="2:12" x14ac:dyDescent="0.35">
      <c r="B494" s="2" t="s">
        <v>569</v>
      </c>
      <c r="C494" s="3">
        <v>100000455181</v>
      </c>
      <c r="D494" s="4">
        <v>227053</v>
      </c>
      <c r="E494" s="5">
        <v>4047443530127</v>
      </c>
      <c r="F494" s="2" t="s">
        <v>575</v>
      </c>
      <c r="G494" s="2" t="s">
        <v>637</v>
      </c>
      <c r="H494" s="20" t="s">
        <v>691</v>
      </c>
      <c r="I494" s="12">
        <f t="shared" si="23"/>
        <v>26.285714285714285</v>
      </c>
      <c r="J494" s="13">
        <f t="shared" si="25"/>
        <v>65.714285714285708</v>
      </c>
      <c r="K494" s="18">
        <v>69</v>
      </c>
      <c r="L494" s="11">
        <f t="shared" si="24"/>
        <v>0.6</v>
      </c>
    </row>
  </sheetData>
  <hyperlinks>
    <hyperlink ref="D196" r:id="rId1" display="https://de.hama.com/00139926" xr:uid="{8B0FA892-58D9-4E2D-97DD-8F0B895BDC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959C-4860-42BD-B827-AE62FB98222D}">
  <sheetPr>
    <tabColor rgb="FF00B050"/>
  </sheetPr>
  <dimension ref="B1:L2"/>
  <sheetViews>
    <sheetView zoomScale="80" zoomScaleNormal="80" workbookViewId="0">
      <selection activeCell="D1" sqref="D1"/>
    </sheetView>
  </sheetViews>
  <sheetFormatPr defaultRowHeight="14.5" x14ac:dyDescent="0.35"/>
  <cols>
    <col min="2" max="2" width="7" bestFit="1" customWidth="1"/>
    <col min="3" max="3" width="14.7265625" customWidth="1"/>
    <col min="4" max="4" width="13.08984375" bestFit="1" customWidth="1"/>
    <col min="5" max="5" width="15.90625" bestFit="1" customWidth="1"/>
    <col min="6" max="6" width="15.36328125" bestFit="1" customWidth="1"/>
    <col min="7" max="7" width="12.90625" bestFit="1" customWidth="1"/>
    <col min="8" max="8" width="47.26953125" customWidth="1"/>
    <col min="9" max="9" width="9.08984375" customWidth="1"/>
    <col min="10" max="10" width="7.1796875" bestFit="1" customWidth="1"/>
    <col min="11" max="11" width="11.453125" customWidth="1"/>
    <col min="12" max="12" width="7.7265625" bestFit="1" customWidth="1"/>
  </cols>
  <sheetData>
    <row r="1" spans="2:12" ht="28" x14ac:dyDescent="0.35">
      <c r="B1" s="8" t="s">
        <v>0</v>
      </c>
      <c r="C1" s="8" t="s">
        <v>1</v>
      </c>
      <c r="D1" s="8" t="s">
        <v>692</v>
      </c>
      <c r="E1" s="15" t="s">
        <v>632</v>
      </c>
      <c r="F1" s="8" t="s">
        <v>3</v>
      </c>
      <c r="G1" s="8" t="s">
        <v>636</v>
      </c>
      <c r="H1" s="9" t="s">
        <v>2</v>
      </c>
      <c r="I1" s="10" t="s">
        <v>633</v>
      </c>
      <c r="J1" s="10" t="s">
        <v>634</v>
      </c>
      <c r="K1" s="10" t="s">
        <v>635</v>
      </c>
      <c r="L1" s="10" t="s">
        <v>4</v>
      </c>
    </row>
    <row r="2" spans="2:12" ht="14" customHeight="1" x14ac:dyDescent="0.35">
      <c r="B2" s="2" t="s">
        <v>642</v>
      </c>
      <c r="C2" s="3" t="s">
        <v>638</v>
      </c>
      <c r="D2" s="4" t="s">
        <v>641</v>
      </c>
      <c r="E2" s="16">
        <v>4007249345523</v>
      </c>
      <c r="F2" s="2" t="s">
        <v>575</v>
      </c>
      <c r="G2" s="2" t="s">
        <v>639</v>
      </c>
      <c r="H2" s="6" t="s">
        <v>640</v>
      </c>
      <c r="I2" s="12">
        <f t="shared" ref="I2" si="0">0.4*J2</f>
        <v>49.142857142857139</v>
      </c>
      <c r="J2" s="13">
        <f t="shared" ref="J2" si="1">K2/(1+5%)</f>
        <v>122.85714285714285</v>
      </c>
      <c r="K2" s="7">
        <v>129</v>
      </c>
      <c r="L2" s="11">
        <f t="shared" ref="L2" si="2">(J2-I2)/J2</f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629F-424A-4614-9636-185F7E637944}">
  <sheetPr>
    <tabColor theme="1"/>
  </sheetPr>
  <dimension ref="B1:L29"/>
  <sheetViews>
    <sheetView zoomScale="80" zoomScaleNormal="80" workbookViewId="0">
      <selection activeCell="D1" sqref="D1"/>
    </sheetView>
  </sheetViews>
  <sheetFormatPr defaultRowHeight="14.5" x14ac:dyDescent="0.35"/>
  <cols>
    <col min="2" max="2" width="8.6328125" bestFit="1" customWidth="1"/>
    <col min="3" max="3" width="16.90625" customWidth="1"/>
    <col min="4" max="4" width="7.81640625" bestFit="1" customWidth="1"/>
    <col min="5" max="5" width="20.08984375" customWidth="1"/>
    <col min="6" max="6" width="19.6328125" bestFit="1" customWidth="1"/>
    <col min="7" max="7" width="6.90625" bestFit="1" customWidth="1"/>
    <col min="8" max="8" width="71.7265625" bestFit="1" customWidth="1"/>
    <col min="9" max="9" width="10.6328125" customWidth="1"/>
    <col min="10" max="10" width="9.26953125" customWidth="1"/>
    <col min="11" max="11" width="10.6328125" customWidth="1"/>
    <col min="12" max="12" width="7.7265625" bestFit="1" customWidth="1"/>
  </cols>
  <sheetData>
    <row r="1" spans="2:12" ht="28" x14ac:dyDescent="0.35">
      <c r="B1" s="8" t="s">
        <v>0</v>
      </c>
      <c r="C1" s="8" t="s">
        <v>1</v>
      </c>
      <c r="D1" s="8" t="s">
        <v>692</v>
      </c>
      <c r="E1" s="15" t="s">
        <v>632</v>
      </c>
      <c r="F1" s="8" t="s">
        <v>3</v>
      </c>
      <c r="G1" s="8" t="s">
        <v>636</v>
      </c>
      <c r="H1" s="9" t="s">
        <v>2</v>
      </c>
      <c r="I1" s="10" t="s">
        <v>633</v>
      </c>
      <c r="J1" s="10" t="s">
        <v>634</v>
      </c>
      <c r="K1" s="10" t="s">
        <v>635</v>
      </c>
      <c r="L1" s="10" t="s">
        <v>4</v>
      </c>
    </row>
    <row r="2" spans="2:12" x14ac:dyDescent="0.35">
      <c r="B2" s="2" t="s">
        <v>568</v>
      </c>
      <c r="C2" s="3">
        <v>100000337353</v>
      </c>
      <c r="D2" s="4">
        <v>107662</v>
      </c>
      <c r="E2" s="16">
        <v>4047443409157</v>
      </c>
      <c r="F2" s="2" t="s">
        <v>572</v>
      </c>
      <c r="G2" s="2" t="s">
        <v>637</v>
      </c>
      <c r="H2" s="6" t="s">
        <v>5</v>
      </c>
      <c r="I2" s="12">
        <f>0.4*J2</f>
        <v>56.761904761904759</v>
      </c>
      <c r="J2" s="13">
        <f t="shared" ref="J2:J25" si="0">K2/(1+5%)</f>
        <v>141.9047619047619</v>
      </c>
      <c r="K2" s="7">
        <v>149</v>
      </c>
      <c r="L2" s="11">
        <f>(J2-I2)/J2</f>
        <v>0.6</v>
      </c>
    </row>
    <row r="3" spans="2:12" x14ac:dyDescent="0.35">
      <c r="B3" s="2" t="s">
        <v>568</v>
      </c>
      <c r="C3" s="3">
        <v>100000337354</v>
      </c>
      <c r="D3" s="4">
        <v>107664</v>
      </c>
      <c r="E3" s="16">
        <v>4047443409171</v>
      </c>
      <c r="F3" s="2" t="s">
        <v>572</v>
      </c>
      <c r="G3" s="2" t="s">
        <v>637</v>
      </c>
      <c r="H3" s="6" t="s">
        <v>6</v>
      </c>
      <c r="I3" s="12">
        <f t="shared" ref="I3:I25" si="1">0.4*J3</f>
        <v>64.38095238095238</v>
      </c>
      <c r="J3" s="13">
        <f t="shared" si="0"/>
        <v>160.95238095238093</v>
      </c>
      <c r="K3" s="7">
        <v>169</v>
      </c>
      <c r="L3" s="11">
        <f t="shared" ref="L3:L25" si="2">(J3-I3)/J3</f>
        <v>0.6</v>
      </c>
    </row>
    <row r="4" spans="2:12" x14ac:dyDescent="0.35">
      <c r="B4" s="2" t="s">
        <v>568</v>
      </c>
      <c r="C4" s="3">
        <v>100000337355</v>
      </c>
      <c r="D4" s="4">
        <v>107765</v>
      </c>
      <c r="E4" s="16">
        <v>4047443298089</v>
      </c>
      <c r="F4" s="2" t="s">
        <v>572</v>
      </c>
      <c r="G4" s="2" t="s">
        <v>637</v>
      </c>
      <c r="H4" s="6" t="s">
        <v>6</v>
      </c>
      <c r="I4" s="12">
        <f t="shared" si="1"/>
        <v>113.90476190476191</v>
      </c>
      <c r="J4" s="13">
        <f t="shared" si="0"/>
        <v>284.76190476190476</v>
      </c>
      <c r="K4" s="7">
        <v>299</v>
      </c>
      <c r="L4" s="11">
        <f t="shared" si="2"/>
        <v>0.59999999999999987</v>
      </c>
    </row>
    <row r="5" spans="2:12" x14ac:dyDescent="0.35">
      <c r="B5" s="2" t="s">
        <v>568</v>
      </c>
      <c r="C5" s="3">
        <v>100000337356</v>
      </c>
      <c r="D5" s="4">
        <v>107770</v>
      </c>
      <c r="E5" s="16">
        <v>4047443298140</v>
      </c>
      <c r="F5" s="2" t="s">
        <v>572</v>
      </c>
      <c r="G5" s="2" t="s">
        <v>637</v>
      </c>
      <c r="H5" s="6" t="s">
        <v>7</v>
      </c>
      <c r="I5" s="12">
        <f t="shared" si="1"/>
        <v>152</v>
      </c>
      <c r="J5" s="13">
        <f t="shared" si="0"/>
        <v>380</v>
      </c>
      <c r="K5" s="7">
        <v>399</v>
      </c>
      <c r="L5" s="11">
        <f t="shared" si="2"/>
        <v>0.6</v>
      </c>
    </row>
    <row r="6" spans="2:12" x14ac:dyDescent="0.35">
      <c r="B6" s="2" t="s">
        <v>568</v>
      </c>
      <c r="C6" s="3">
        <v>100000260292</v>
      </c>
      <c r="D6" s="4">
        <v>127034</v>
      </c>
      <c r="E6" s="16">
        <v>4047443254368</v>
      </c>
      <c r="F6" s="2" t="s">
        <v>572</v>
      </c>
      <c r="G6" s="2" t="s">
        <v>637</v>
      </c>
      <c r="H6" s="6" t="s">
        <v>8</v>
      </c>
      <c r="I6" s="12">
        <f t="shared" si="1"/>
        <v>49.142857142857139</v>
      </c>
      <c r="J6" s="13">
        <f t="shared" si="0"/>
        <v>122.85714285714285</v>
      </c>
      <c r="K6" s="7">
        <v>129</v>
      </c>
      <c r="L6" s="11">
        <f t="shared" si="2"/>
        <v>0.6</v>
      </c>
    </row>
    <row r="7" spans="2:12" x14ac:dyDescent="0.35">
      <c r="B7" s="2" t="s">
        <v>568</v>
      </c>
      <c r="C7" s="3">
        <v>100000260299</v>
      </c>
      <c r="D7" s="4">
        <v>127044</v>
      </c>
      <c r="E7" s="16">
        <v>4047443254412</v>
      </c>
      <c r="F7" s="2" t="s">
        <v>572</v>
      </c>
      <c r="G7" s="2" t="s">
        <v>637</v>
      </c>
      <c r="H7" s="6" t="s">
        <v>9</v>
      </c>
      <c r="I7" s="12">
        <f t="shared" si="1"/>
        <v>33.904761904761905</v>
      </c>
      <c r="J7" s="13">
        <f t="shared" si="0"/>
        <v>84.761904761904759</v>
      </c>
      <c r="K7" s="7">
        <v>89</v>
      </c>
      <c r="L7" s="11">
        <f t="shared" si="2"/>
        <v>0.6</v>
      </c>
    </row>
    <row r="8" spans="2:12" x14ac:dyDescent="0.35">
      <c r="B8" s="2" t="s">
        <v>568</v>
      </c>
      <c r="C8" s="3">
        <v>100000337357</v>
      </c>
      <c r="D8" s="4">
        <v>127045</v>
      </c>
      <c r="E8" s="16">
        <v>4047443362612</v>
      </c>
      <c r="F8" s="2" t="s">
        <v>572</v>
      </c>
      <c r="G8" s="2" t="s">
        <v>637</v>
      </c>
      <c r="H8" s="6" t="s">
        <v>10</v>
      </c>
      <c r="I8" s="12">
        <f t="shared" si="1"/>
        <v>37.714285714285715</v>
      </c>
      <c r="J8" s="13">
        <f t="shared" si="0"/>
        <v>94.285714285714278</v>
      </c>
      <c r="K8" s="7">
        <v>99</v>
      </c>
      <c r="L8" s="11">
        <f t="shared" si="2"/>
        <v>0.6</v>
      </c>
    </row>
    <row r="9" spans="2:12" x14ac:dyDescent="0.35">
      <c r="B9" s="2" t="s">
        <v>568</v>
      </c>
      <c r="C9" s="3">
        <v>100000337358</v>
      </c>
      <c r="D9" s="4">
        <v>127053</v>
      </c>
      <c r="E9" s="16">
        <v>4047443377494</v>
      </c>
      <c r="F9" s="2" t="s">
        <v>572</v>
      </c>
      <c r="G9" s="2" t="s">
        <v>637</v>
      </c>
      <c r="H9" s="6" t="s">
        <v>10</v>
      </c>
      <c r="I9" s="12">
        <f t="shared" si="1"/>
        <v>49.142857142857139</v>
      </c>
      <c r="J9" s="13">
        <f t="shared" si="0"/>
        <v>122.85714285714285</v>
      </c>
      <c r="K9" s="7">
        <v>129</v>
      </c>
      <c r="L9" s="11">
        <f t="shared" si="2"/>
        <v>0.6</v>
      </c>
    </row>
    <row r="10" spans="2:12" x14ac:dyDescent="0.35">
      <c r="B10" s="2" t="s">
        <v>568</v>
      </c>
      <c r="C10" s="3">
        <v>100000337359</v>
      </c>
      <c r="D10" s="4">
        <v>127054</v>
      </c>
      <c r="E10" s="16">
        <v>4047443377548</v>
      </c>
      <c r="F10" s="2" t="s">
        <v>572</v>
      </c>
      <c r="G10" s="2" t="s">
        <v>637</v>
      </c>
      <c r="H10" s="6" t="s">
        <v>11</v>
      </c>
      <c r="I10" s="12">
        <f t="shared" si="1"/>
        <v>75.80952380952381</v>
      </c>
      <c r="J10" s="13">
        <f t="shared" si="0"/>
        <v>189.52380952380952</v>
      </c>
      <c r="K10" s="7">
        <v>199</v>
      </c>
      <c r="L10" s="11">
        <f t="shared" si="2"/>
        <v>0.6</v>
      </c>
    </row>
    <row r="11" spans="2:12" x14ac:dyDescent="0.35">
      <c r="B11" s="2" t="s">
        <v>568</v>
      </c>
      <c r="C11" s="3">
        <v>100000337360</v>
      </c>
      <c r="D11" s="4">
        <v>127077</v>
      </c>
      <c r="E11" s="16">
        <v>4047443304650</v>
      </c>
      <c r="F11" s="2" t="s">
        <v>572</v>
      </c>
      <c r="G11" s="2" t="s">
        <v>637</v>
      </c>
      <c r="H11" s="6" t="s">
        <v>12</v>
      </c>
      <c r="I11" s="12">
        <f t="shared" si="1"/>
        <v>30.095238095238098</v>
      </c>
      <c r="J11" s="13">
        <f t="shared" si="0"/>
        <v>75.238095238095241</v>
      </c>
      <c r="K11" s="7">
        <v>79</v>
      </c>
      <c r="L11" s="11">
        <f t="shared" si="2"/>
        <v>0.6</v>
      </c>
    </row>
    <row r="12" spans="2:12" x14ac:dyDescent="0.35">
      <c r="B12" s="2" t="s">
        <v>568</v>
      </c>
      <c r="C12" s="3">
        <v>100000260312</v>
      </c>
      <c r="D12" s="4">
        <v>127108</v>
      </c>
      <c r="E12" s="16">
        <v>4047443254689</v>
      </c>
      <c r="F12" s="2" t="s">
        <v>572</v>
      </c>
      <c r="G12" s="2" t="s">
        <v>637</v>
      </c>
      <c r="H12" s="6" t="s">
        <v>13</v>
      </c>
      <c r="I12" s="12">
        <f>0.4*F29</f>
        <v>26.285714285714285</v>
      </c>
      <c r="J12" s="13">
        <f t="shared" si="0"/>
        <v>65.714285714285708</v>
      </c>
      <c r="K12" s="7">
        <v>69</v>
      </c>
      <c r="L12" s="11">
        <f>(F29-I12)/F29</f>
        <v>0.6</v>
      </c>
    </row>
    <row r="13" spans="2:12" x14ac:dyDescent="0.35">
      <c r="B13" s="2" t="s">
        <v>568</v>
      </c>
      <c r="C13" s="3">
        <v>100000260313</v>
      </c>
      <c r="D13" s="4">
        <v>127109</v>
      </c>
      <c r="E13" s="16">
        <v>4047443254696</v>
      </c>
      <c r="F13" s="2" t="s">
        <v>572</v>
      </c>
      <c r="G13" s="2" t="s">
        <v>637</v>
      </c>
      <c r="H13" s="6" t="s">
        <v>14</v>
      </c>
      <c r="I13" s="12">
        <f t="shared" si="1"/>
        <v>30.095238095238098</v>
      </c>
      <c r="J13" s="13">
        <f t="shared" si="0"/>
        <v>75.238095238095241</v>
      </c>
      <c r="K13" s="7">
        <v>79</v>
      </c>
      <c r="L13" s="11">
        <f t="shared" si="2"/>
        <v>0.6</v>
      </c>
    </row>
    <row r="14" spans="2:12" x14ac:dyDescent="0.35">
      <c r="B14" s="2" t="s">
        <v>568</v>
      </c>
      <c r="C14" s="3">
        <v>100000260314</v>
      </c>
      <c r="D14" s="4">
        <v>127112</v>
      </c>
      <c r="E14" s="16">
        <v>4047443254719</v>
      </c>
      <c r="F14" s="2" t="s">
        <v>572</v>
      </c>
      <c r="G14" s="2" t="s">
        <v>637</v>
      </c>
      <c r="H14" s="6" t="s">
        <v>15</v>
      </c>
      <c r="I14" s="12">
        <f t="shared" si="1"/>
        <v>33.904761904761905</v>
      </c>
      <c r="J14" s="13">
        <f t="shared" si="0"/>
        <v>84.761904761904759</v>
      </c>
      <c r="K14" s="7">
        <v>89</v>
      </c>
      <c r="L14" s="11">
        <f t="shared" si="2"/>
        <v>0.6</v>
      </c>
    </row>
    <row r="15" spans="2:12" x14ac:dyDescent="0.35">
      <c r="B15" s="2" t="s">
        <v>568</v>
      </c>
      <c r="C15" s="3">
        <v>100000260315</v>
      </c>
      <c r="D15" s="4">
        <v>127113</v>
      </c>
      <c r="E15" s="16">
        <v>4047443254726</v>
      </c>
      <c r="F15" s="2" t="s">
        <v>572</v>
      </c>
      <c r="G15" s="2" t="s">
        <v>637</v>
      </c>
      <c r="H15" s="6" t="s">
        <v>16</v>
      </c>
      <c r="I15" s="12">
        <f t="shared" si="1"/>
        <v>37.714285714285715</v>
      </c>
      <c r="J15" s="13">
        <f t="shared" si="0"/>
        <v>94.285714285714278</v>
      </c>
      <c r="K15" s="7">
        <v>99</v>
      </c>
      <c r="L15" s="11">
        <f t="shared" si="2"/>
        <v>0.6</v>
      </c>
    </row>
    <row r="16" spans="2:12" x14ac:dyDescent="0.35">
      <c r="B16" s="2" t="s">
        <v>568</v>
      </c>
      <c r="C16" s="3">
        <v>100000337361</v>
      </c>
      <c r="D16" s="4">
        <v>127153</v>
      </c>
      <c r="E16" s="16">
        <v>4047443317889</v>
      </c>
      <c r="F16" s="2" t="s">
        <v>572</v>
      </c>
      <c r="G16" s="2" t="s">
        <v>637</v>
      </c>
      <c r="H16" s="6" t="s">
        <v>17</v>
      </c>
      <c r="I16" s="12">
        <f t="shared" si="1"/>
        <v>26.285714285714285</v>
      </c>
      <c r="J16" s="13">
        <f t="shared" si="0"/>
        <v>65.714285714285708</v>
      </c>
      <c r="K16" s="7">
        <v>69</v>
      </c>
      <c r="L16" s="11">
        <f t="shared" si="2"/>
        <v>0.6</v>
      </c>
    </row>
    <row r="17" spans="2:12" x14ac:dyDescent="0.35">
      <c r="B17" s="2" t="s">
        <v>568</v>
      </c>
      <c r="C17" s="3">
        <v>100000337363</v>
      </c>
      <c r="D17" s="4">
        <v>127154</v>
      </c>
      <c r="E17" s="16">
        <v>4047443317896</v>
      </c>
      <c r="F17" s="2" t="s">
        <v>572</v>
      </c>
      <c r="G17" s="2" t="s">
        <v>637</v>
      </c>
      <c r="H17" s="6" t="s">
        <v>18</v>
      </c>
      <c r="I17" s="12">
        <f t="shared" si="1"/>
        <v>33.904761904761905</v>
      </c>
      <c r="J17" s="13">
        <f t="shared" si="0"/>
        <v>84.761904761904759</v>
      </c>
      <c r="K17" s="7">
        <v>89</v>
      </c>
      <c r="L17" s="11">
        <f t="shared" si="2"/>
        <v>0.6</v>
      </c>
    </row>
    <row r="18" spans="2:12" x14ac:dyDescent="0.35">
      <c r="B18" s="2" t="s">
        <v>568</v>
      </c>
      <c r="C18" s="3">
        <v>100000337364</v>
      </c>
      <c r="D18" s="4">
        <v>127172</v>
      </c>
      <c r="E18" s="16">
        <v>4047443422552</v>
      </c>
      <c r="F18" s="2" t="s">
        <v>572</v>
      </c>
      <c r="G18" s="2" t="s">
        <v>637</v>
      </c>
      <c r="H18" s="6" t="s">
        <v>19</v>
      </c>
      <c r="I18" s="12">
        <f t="shared" si="1"/>
        <v>56.761904761904759</v>
      </c>
      <c r="J18" s="13">
        <f t="shared" si="0"/>
        <v>141.9047619047619</v>
      </c>
      <c r="K18" s="7">
        <v>149</v>
      </c>
      <c r="L18" s="11">
        <f t="shared" si="2"/>
        <v>0.6</v>
      </c>
    </row>
    <row r="19" spans="2:12" x14ac:dyDescent="0.35">
      <c r="B19" s="2" t="s">
        <v>568</v>
      </c>
      <c r="C19" s="3">
        <v>100000337366</v>
      </c>
      <c r="D19" s="4">
        <v>127173</v>
      </c>
      <c r="E19" s="16">
        <v>4047443422569</v>
      </c>
      <c r="F19" s="2" t="s">
        <v>572</v>
      </c>
      <c r="G19" s="2" t="s">
        <v>637</v>
      </c>
      <c r="H19" s="6" t="s">
        <v>20</v>
      </c>
      <c r="I19" s="12">
        <f t="shared" si="1"/>
        <v>68.19047619047619</v>
      </c>
      <c r="J19" s="13">
        <f t="shared" si="0"/>
        <v>170.47619047619048</v>
      </c>
      <c r="K19" s="7">
        <v>179</v>
      </c>
      <c r="L19" s="11">
        <f t="shared" si="2"/>
        <v>0.6</v>
      </c>
    </row>
    <row r="20" spans="2:12" x14ac:dyDescent="0.35">
      <c r="B20" s="2" t="s">
        <v>568</v>
      </c>
      <c r="C20" s="3">
        <v>100000337368</v>
      </c>
      <c r="D20" s="4">
        <v>127181</v>
      </c>
      <c r="E20" s="16">
        <v>4047443304544</v>
      </c>
      <c r="F20" s="2" t="s">
        <v>572</v>
      </c>
      <c r="G20" s="2" t="s">
        <v>637</v>
      </c>
      <c r="H20" s="6" t="s">
        <v>21</v>
      </c>
      <c r="I20" s="12">
        <f t="shared" si="1"/>
        <v>26.285714285714285</v>
      </c>
      <c r="J20" s="13">
        <f t="shared" si="0"/>
        <v>65.714285714285708</v>
      </c>
      <c r="K20" s="7">
        <v>69</v>
      </c>
      <c r="L20" s="11">
        <f t="shared" si="2"/>
        <v>0.6</v>
      </c>
    </row>
    <row r="21" spans="2:12" x14ac:dyDescent="0.35">
      <c r="B21" s="2" t="s">
        <v>568</v>
      </c>
      <c r="C21" s="3">
        <v>100000337370</v>
      </c>
      <c r="D21" s="4">
        <v>127184</v>
      </c>
      <c r="E21" s="16">
        <v>4047443304575</v>
      </c>
      <c r="F21" s="2" t="s">
        <v>572</v>
      </c>
      <c r="G21" s="2" t="s">
        <v>637</v>
      </c>
      <c r="H21" s="6" t="s">
        <v>22</v>
      </c>
      <c r="I21" s="12">
        <f t="shared" si="1"/>
        <v>33.904761904761905</v>
      </c>
      <c r="J21" s="13">
        <f t="shared" si="0"/>
        <v>84.761904761904759</v>
      </c>
      <c r="K21" s="7">
        <v>89</v>
      </c>
      <c r="L21" s="11">
        <f t="shared" si="2"/>
        <v>0.6</v>
      </c>
    </row>
    <row r="22" spans="2:12" x14ac:dyDescent="0.35">
      <c r="B22" s="2" t="s">
        <v>568</v>
      </c>
      <c r="C22" s="3">
        <v>100000337372</v>
      </c>
      <c r="D22" s="4">
        <v>127587</v>
      </c>
      <c r="E22" s="16">
        <v>4047443403612</v>
      </c>
      <c r="F22" s="2" t="s">
        <v>572</v>
      </c>
      <c r="G22" s="2" t="s">
        <v>637</v>
      </c>
      <c r="H22" s="6" t="s">
        <v>23</v>
      </c>
      <c r="I22" s="12">
        <f t="shared" si="1"/>
        <v>60.571428571428569</v>
      </c>
      <c r="J22" s="13">
        <f t="shared" si="0"/>
        <v>151.42857142857142</v>
      </c>
      <c r="K22" s="7">
        <v>159</v>
      </c>
      <c r="L22" s="11">
        <f t="shared" si="2"/>
        <v>0.6</v>
      </c>
    </row>
    <row r="23" spans="2:12" x14ac:dyDescent="0.35">
      <c r="B23" s="2" t="s">
        <v>568</v>
      </c>
      <c r="C23" s="3">
        <v>100000337373</v>
      </c>
      <c r="D23" s="4">
        <v>127589</v>
      </c>
      <c r="E23" s="16">
        <v>4047443403650</v>
      </c>
      <c r="F23" s="2" t="s">
        <v>572</v>
      </c>
      <c r="G23" s="2" t="s">
        <v>637</v>
      </c>
      <c r="H23" s="6" t="s">
        <v>24</v>
      </c>
      <c r="I23" s="12">
        <f t="shared" si="1"/>
        <v>68.19047619047619</v>
      </c>
      <c r="J23" s="13">
        <f t="shared" si="0"/>
        <v>170.47619047619048</v>
      </c>
      <c r="K23" s="7">
        <v>179</v>
      </c>
      <c r="L23" s="11">
        <f t="shared" si="2"/>
        <v>0.6</v>
      </c>
    </row>
    <row r="24" spans="2:12" x14ac:dyDescent="0.35">
      <c r="B24" s="2" t="s">
        <v>568</v>
      </c>
      <c r="C24" s="3">
        <v>100000337374</v>
      </c>
      <c r="D24" s="4">
        <v>127591</v>
      </c>
      <c r="E24" s="16">
        <v>4047443403674</v>
      </c>
      <c r="F24" s="2" t="s">
        <v>572</v>
      </c>
      <c r="G24" s="2" t="s">
        <v>637</v>
      </c>
      <c r="H24" s="6" t="s">
        <v>25</v>
      </c>
      <c r="I24" s="12">
        <f t="shared" si="1"/>
        <v>75.80952380952381</v>
      </c>
      <c r="J24" s="13">
        <f t="shared" si="0"/>
        <v>189.52380952380952</v>
      </c>
      <c r="K24" s="7">
        <v>199</v>
      </c>
      <c r="L24" s="11">
        <f t="shared" si="2"/>
        <v>0.6</v>
      </c>
    </row>
    <row r="25" spans="2:12" x14ac:dyDescent="0.35">
      <c r="B25" s="2" t="s">
        <v>568</v>
      </c>
      <c r="C25" s="3">
        <v>100000201667</v>
      </c>
      <c r="D25" s="4">
        <v>107586</v>
      </c>
      <c r="E25" s="16">
        <v>4047443145598</v>
      </c>
      <c r="F25" s="2" t="s">
        <v>572</v>
      </c>
      <c r="G25" s="2" t="s">
        <v>637</v>
      </c>
      <c r="H25" s="6" t="s">
        <v>26</v>
      </c>
      <c r="I25" s="12">
        <f t="shared" si="1"/>
        <v>14.857142857142856</v>
      </c>
      <c r="J25" s="13">
        <f t="shared" si="0"/>
        <v>37.142857142857139</v>
      </c>
      <c r="K25" s="7">
        <v>39</v>
      </c>
      <c r="L25" s="11">
        <f t="shared" si="2"/>
        <v>0.60000000000000009</v>
      </c>
    </row>
    <row r="29" spans="2:12" x14ac:dyDescent="0.35">
      <c r="F29" s="13">
        <f>K12/(1+5%)</f>
        <v>65.714285714285708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9AC-1042-46B9-8B4B-1AC190A40043}">
  <sheetPr>
    <tabColor rgb="FF0070C0"/>
  </sheetPr>
  <dimension ref="B1:L26"/>
  <sheetViews>
    <sheetView zoomScale="80" zoomScaleNormal="80" workbookViewId="0">
      <selection activeCell="D12" sqref="D12:D13"/>
    </sheetView>
  </sheetViews>
  <sheetFormatPr defaultRowHeight="14.5" x14ac:dyDescent="0.35"/>
  <cols>
    <col min="2" max="2" width="7.26953125" bestFit="1" customWidth="1"/>
    <col min="3" max="3" width="15.1796875" bestFit="1" customWidth="1"/>
    <col min="4" max="4" width="26.7265625" bestFit="1" customWidth="1"/>
    <col min="5" max="5" width="15.90625" bestFit="1" customWidth="1"/>
    <col min="6" max="6" width="19.90625" bestFit="1" customWidth="1"/>
    <col min="7" max="7" width="6.90625" bestFit="1" customWidth="1"/>
    <col min="8" max="8" width="71.81640625" bestFit="1" customWidth="1"/>
    <col min="9" max="9" width="9.36328125" customWidth="1"/>
    <col min="10" max="10" width="8.1796875" customWidth="1"/>
    <col min="11" max="11" width="10.1796875" customWidth="1"/>
    <col min="12" max="12" width="7.7265625" bestFit="1" customWidth="1"/>
  </cols>
  <sheetData>
    <row r="1" spans="2:12" ht="28" x14ac:dyDescent="0.35">
      <c r="B1" s="8" t="s">
        <v>0</v>
      </c>
      <c r="C1" s="8" t="s">
        <v>1</v>
      </c>
      <c r="D1" s="8" t="s">
        <v>692</v>
      </c>
      <c r="E1" s="15" t="s">
        <v>632</v>
      </c>
      <c r="F1" s="8" t="s">
        <v>3</v>
      </c>
      <c r="G1" s="8" t="s">
        <v>636</v>
      </c>
      <c r="H1" s="9" t="s">
        <v>2</v>
      </c>
      <c r="I1" s="10" t="s">
        <v>633</v>
      </c>
      <c r="J1" s="10" t="s">
        <v>634</v>
      </c>
      <c r="K1" s="10" t="s">
        <v>635</v>
      </c>
      <c r="L1" s="10" t="s">
        <v>4</v>
      </c>
    </row>
    <row r="2" spans="2:12" x14ac:dyDescent="0.35">
      <c r="B2" s="2" t="s">
        <v>570</v>
      </c>
      <c r="C2" s="3">
        <v>100000331217</v>
      </c>
      <c r="D2" s="4">
        <v>186005</v>
      </c>
      <c r="E2" s="16">
        <v>4047443410696</v>
      </c>
      <c r="F2" s="2" t="s">
        <v>575</v>
      </c>
      <c r="G2" s="2" t="s">
        <v>637</v>
      </c>
      <c r="H2" s="6" t="s">
        <v>207</v>
      </c>
      <c r="I2" s="12">
        <f t="shared" ref="I2:I26" si="0">0.4*J2</f>
        <v>56.761904761904759</v>
      </c>
      <c r="J2" s="13">
        <f t="shared" ref="J2:J26" si="1">K2/(1+5%)</f>
        <v>141.9047619047619</v>
      </c>
      <c r="K2" s="7">
        <v>149</v>
      </c>
      <c r="L2" s="11">
        <v>0.6</v>
      </c>
    </row>
    <row r="3" spans="2:12" x14ac:dyDescent="0.35">
      <c r="B3" s="2" t="s">
        <v>570</v>
      </c>
      <c r="C3" s="3">
        <v>100000298468</v>
      </c>
      <c r="D3" s="4">
        <v>113735</v>
      </c>
      <c r="E3" s="16">
        <v>4047443275301</v>
      </c>
      <c r="F3" s="2" t="s">
        <v>576</v>
      </c>
      <c r="G3" s="2" t="s">
        <v>637</v>
      </c>
      <c r="H3" s="6" t="s">
        <v>374</v>
      </c>
      <c r="I3" s="12">
        <f t="shared" si="0"/>
        <v>52.952380952380956</v>
      </c>
      <c r="J3" s="13">
        <f t="shared" si="1"/>
        <v>132.38095238095238</v>
      </c>
      <c r="K3" s="7">
        <v>139</v>
      </c>
      <c r="L3" s="11">
        <v>0.59999999999999987</v>
      </c>
    </row>
    <row r="4" spans="2:12" x14ac:dyDescent="0.35">
      <c r="B4" s="2" t="s">
        <v>570</v>
      </c>
      <c r="C4" s="3">
        <v>100000332950</v>
      </c>
      <c r="D4" s="4">
        <v>186031</v>
      </c>
      <c r="E4" s="16">
        <v>4047443432254</v>
      </c>
      <c r="F4" s="2" t="s">
        <v>576</v>
      </c>
      <c r="G4" s="2" t="s">
        <v>637</v>
      </c>
      <c r="H4" s="6" t="s">
        <v>375</v>
      </c>
      <c r="I4" s="12">
        <f t="shared" si="0"/>
        <v>33.904761904761905</v>
      </c>
      <c r="J4" s="13">
        <f t="shared" si="1"/>
        <v>84.761904761904759</v>
      </c>
      <c r="K4" s="7">
        <v>89</v>
      </c>
      <c r="L4" s="11">
        <v>0.6</v>
      </c>
    </row>
    <row r="5" spans="2:12" x14ac:dyDescent="0.35">
      <c r="B5" s="2" t="s">
        <v>570</v>
      </c>
      <c r="C5" s="3">
        <v>100000332951</v>
      </c>
      <c r="D5" s="4">
        <v>186033</v>
      </c>
      <c r="E5" s="16">
        <v>4047443430489</v>
      </c>
      <c r="F5" s="2" t="s">
        <v>576</v>
      </c>
      <c r="G5" s="2" t="s">
        <v>637</v>
      </c>
      <c r="H5" s="6" t="s">
        <v>376</v>
      </c>
      <c r="I5" s="12">
        <f t="shared" si="0"/>
        <v>30.095238095238098</v>
      </c>
      <c r="J5" s="13">
        <f t="shared" si="1"/>
        <v>75.238095238095241</v>
      </c>
      <c r="K5" s="7">
        <v>79</v>
      </c>
      <c r="L5" s="11">
        <v>0.6</v>
      </c>
    </row>
    <row r="6" spans="2:12" x14ac:dyDescent="0.35">
      <c r="B6" s="2" t="s">
        <v>570</v>
      </c>
      <c r="C6" s="3">
        <v>100000332953</v>
      </c>
      <c r="D6" s="4">
        <v>186050</v>
      </c>
      <c r="E6" s="16">
        <v>4047443438058</v>
      </c>
      <c r="F6" s="2" t="s">
        <v>576</v>
      </c>
      <c r="G6" s="2" t="s">
        <v>637</v>
      </c>
      <c r="H6" s="6" t="s">
        <v>377</v>
      </c>
      <c r="I6" s="12">
        <f t="shared" si="0"/>
        <v>64.38095238095238</v>
      </c>
      <c r="J6" s="13">
        <f t="shared" si="1"/>
        <v>160.95238095238093</v>
      </c>
      <c r="K6" s="7">
        <v>169</v>
      </c>
      <c r="L6" s="11">
        <v>0.6</v>
      </c>
    </row>
    <row r="7" spans="2:12" x14ac:dyDescent="0.35">
      <c r="B7" s="2" t="s">
        <v>570</v>
      </c>
      <c r="C7" s="3">
        <v>100000332954</v>
      </c>
      <c r="D7" s="4">
        <v>186051</v>
      </c>
      <c r="E7" s="16">
        <v>4047443438386</v>
      </c>
      <c r="F7" s="2" t="s">
        <v>576</v>
      </c>
      <c r="G7" s="2" t="s">
        <v>637</v>
      </c>
      <c r="H7" s="6" t="s">
        <v>378</v>
      </c>
      <c r="I7" s="12">
        <f t="shared" si="0"/>
        <v>56.761904761904759</v>
      </c>
      <c r="J7" s="13">
        <f t="shared" si="1"/>
        <v>141.9047619047619</v>
      </c>
      <c r="K7" s="7">
        <v>149</v>
      </c>
      <c r="L7" s="11">
        <v>0.6</v>
      </c>
    </row>
    <row r="8" spans="2:12" x14ac:dyDescent="0.35">
      <c r="B8" s="2" t="s">
        <v>570</v>
      </c>
      <c r="C8" s="3">
        <v>100000332955</v>
      </c>
      <c r="D8" s="4">
        <v>186052</v>
      </c>
      <c r="E8" s="16">
        <v>4047443438416</v>
      </c>
      <c r="F8" s="2" t="s">
        <v>576</v>
      </c>
      <c r="G8" s="2" t="s">
        <v>637</v>
      </c>
      <c r="H8" s="6" t="s">
        <v>379</v>
      </c>
      <c r="I8" s="12">
        <f t="shared" si="0"/>
        <v>75.80952380952381</v>
      </c>
      <c r="J8" s="13">
        <f t="shared" si="1"/>
        <v>189.52380952380952</v>
      </c>
      <c r="K8" s="7">
        <v>199</v>
      </c>
      <c r="L8" s="11">
        <v>0.6</v>
      </c>
    </row>
    <row r="9" spans="2:12" x14ac:dyDescent="0.35">
      <c r="B9" s="2" t="s">
        <v>570</v>
      </c>
      <c r="C9" s="3">
        <v>100000332956</v>
      </c>
      <c r="D9" s="4">
        <v>186054</v>
      </c>
      <c r="E9" s="16">
        <v>4047443438447</v>
      </c>
      <c r="F9" s="2" t="s">
        <v>576</v>
      </c>
      <c r="G9" s="2" t="s">
        <v>637</v>
      </c>
      <c r="H9" s="6" t="s">
        <v>380</v>
      </c>
      <c r="I9" s="12">
        <f t="shared" si="0"/>
        <v>132.95238095238093</v>
      </c>
      <c r="J9" s="13">
        <f t="shared" si="1"/>
        <v>332.38095238095235</v>
      </c>
      <c r="K9" s="7">
        <v>349</v>
      </c>
      <c r="L9" s="11">
        <v>0.6</v>
      </c>
    </row>
    <row r="10" spans="2:12" x14ac:dyDescent="0.35">
      <c r="B10" s="2" t="s">
        <v>570</v>
      </c>
      <c r="C10" s="3" t="s">
        <v>564</v>
      </c>
      <c r="D10" s="4">
        <v>186018</v>
      </c>
      <c r="E10" s="16">
        <v>4047443424570</v>
      </c>
      <c r="F10" s="2" t="s">
        <v>576</v>
      </c>
      <c r="G10" s="2" t="s">
        <v>637</v>
      </c>
      <c r="H10" s="6" t="s">
        <v>381</v>
      </c>
      <c r="I10" s="12">
        <f t="shared" si="0"/>
        <v>64.38095238095238</v>
      </c>
      <c r="J10" s="13">
        <f t="shared" si="1"/>
        <v>160.95238095238093</v>
      </c>
      <c r="K10" s="7">
        <v>169</v>
      </c>
      <c r="L10" s="11">
        <v>0.6</v>
      </c>
    </row>
    <row r="11" spans="2:12" x14ac:dyDescent="0.35">
      <c r="B11" s="2" t="s">
        <v>570</v>
      </c>
      <c r="C11" s="3" t="s">
        <v>565</v>
      </c>
      <c r="D11" s="4">
        <v>186019</v>
      </c>
      <c r="E11" s="16">
        <v>4047443424587</v>
      </c>
      <c r="F11" s="2" t="s">
        <v>576</v>
      </c>
      <c r="G11" s="2" t="s">
        <v>637</v>
      </c>
      <c r="H11" s="6" t="s">
        <v>382</v>
      </c>
      <c r="I11" s="12">
        <f t="shared" si="0"/>
        <v>152</v>
      </c>
      <c r="J11" s="13">
        <f t="shared" si="1"/>
        <v>380</v>
      </c>
      <c r="K11" s="7">
        <v>399</v>
      </c>
      <c r="L11" s="11">
        <v>0.6</v>
      </c>
    </row>
    <row r="12" spans="2:12" x14ac:dyDescent="0.35">
      <c r="B12" s="2" t="s">
        <v>570</v>
      </c>
      <c r="C12" s="3" t="s">
        <v>566</v>
      </c>
      <c r="D12" s="4">
        <v>186020</v>
      </c>
      <c r="E12" s="16">
        <v>4047443424594</v>
      </c>
      <c r="F12" s="2" t="s">
        <v>576</v>
      </c>
      <c r="G12" s="2" t="s">
        <v>637</v>
      </c>
      <c r="H12" s="6" t="s">
        <v>383</v>
      </c>
      <c r="I12" s="12">
        <f t="shared" si="0"/>
        <v>228.1904761904762</v>
      </c>
      <c r="J12" s="13">
        <f t="shared" si="1"/>
        <v>570.47619047619048</v>
      </c>
      <c r="K12" s="7">
        <v>599</v>
      </c>
      <c r="L12" s="11">
        <v>0.6</v>
      </c>
    </row>
    <row r="13" spans="2:12" x14ac:dyDescent="0.35">
      <c r="B13" s="2" t="s">
        <v>570</v>
      </c>
      <c r="C13" s="3" t="s">
        <v>567</v>
      </c>
      <c r="D13" s="4">
        <v>113793</v>
      </c>
      <c r="E13" s="16">
        <v>4047443405036</v>
      </c>
      <c r="F13" s="2" t="s">
        <v>576</v>
      </c>
      <c r="G13" s="2" t="s">
        <v>637</v>
      </c>
      <c r="H13" s="6" t="s">
        <v>384</v>
      </c>
      <c r="I13" s="12">
        <f t="shared" si="0"/>
        <v>152</v>
      </c>
      <c r="J13" s="13">
        <f t="shared" si="1"/>
        <v>380</v>
      </c>
      <c r="K13" s="7">
        <v>399</v>
      </c>
      <c r="L13" s="11">
        <v>0.6</v>
      </c>
    </row>
    <row r="14" spans="2:12" x14ac:dyDescent="0.35">
      <c r="B14" s="2" t="s">
        <v>570</v>
      </c>
      <c r="C14" s="3">
        <v>100000334368</v>
      </c>
      <c r="D14" s="4">
        <v>186059</v>
      </c>
      <c r="E14" s="16">
        <v>4047443446893</v>
      </c>
      <c r="F14" s="2" t="s">
        <v>576</v>
      </c>
      <c r="G14" s="2" t="s">
        <v>637</v>
      </c>
      <c r="H14" s="6" t="s">
        <v>385</v>
      </c>
      <c r="I14" s="12">
        <f t="shared" si="0"/>
        <v>186.28571428571431</v>
      </c>
      <c r="J14" s="13">
        <f t="shared" si="1"/>
        <v>465.71428571428572</v>
      </c>
      <c r="K14" s="7">
        <v>489</v>
      </c>
      <c r="L14" s="11">
        <v>0.6</v>
      </c>
    </row>
    <row r="15" spans="2:12" x14ac:dyDescent="0.35">
      <c r="B15" s="2" t="s">
        <v>570</v>
      </c>
      <c r="C15" s="3">
        <v>100000334369</v>
      </c>
      <c r="D15" s="4">
        <v>186017</v>
      </c>
      <c r="E15" s="16">
        <v>4047443424563</v>
      </c>
      <c r="F15" s="2" t="s">
        <v>576</v>
      </c>
      <c r="G15" s="2" t="s">
        <v>637</v>
      </c>
      <c r="H15" s="6" t="s">
        <v>386</v>
      </c>
      <c r="I15" s="12">
        <f t="shared" si="0"/>
        <v>64.38095238095238</v>
      </c>
      <c r="J15" s="13">
        <f t="shared" si="1"/>
        <v>160.95238095238093</v>
      </c>
      <c r="K15" s="7">
        <v>169</v>
      </c>
      <c r="L15" s="11">
        <v>0.6</v>
      </c>
    </row>
    <row r="16" spans="2:12" x14ac:dyDescent="0.35">
      <c r="B16" s="2" t="s">
        <v>570</v>
      </c>
      <c r="C16" s="3">
        <v>100000328045</v>
      </c>
      <c r="D16" s="4" t="s">
        <v>613</v>
      </c>
      <c r="E16" s="16">
        <v>4047443431394</v>
      </c>
      <c r="F16" s="2" t="s">
        <v>576</v>
      </c>
      <c r="G16" s="2" t="s">
        <v>637</v>
      </c>
      <c r="H16" s="6" t="s">
        <v>387</v>
      </c>
      <c r="I16" s="12">
        <f t="shared" si="0"/>
        <v>75.80952380952381</v>
      </c>
      <c r="J16" s="13">
        <f t="shared" si="1"/>
        <v>189.52380952380952</v>
      </c>
      <c r="K16" s="7">
        <v>199</v>
      </c>
      <c r="L16" s="11">
        <v>0.6</v>
      </c>
    </row>
    <row r="17" spans="2:12" x14ac:dyDescent="0.35">
      <c r="B17" s="2" t="s">
        <v>570</v>
      </c>
      <c r="C17" s="3">
        <v>100000332949</v>
      </c>
      <c r="D17" s="4">
        <v>186016</v>
      </c>
      <c r="E17" s="16">
        <v>4047443421258</v>
      </c>
      <c r="F17" s="2" t="s">
        <v>576</v>
      </c>
      <c r="G17" s="2" t="s">
        <v>637</v>
      </c>
      <c r="H17" s="6" t="s">
        <v>388</v>
      </c>
      <c r="I17" s="12">
        <f t="shared" si="0"/>
        <v>140.57142857142856</v>
      </c>
      <c r="J17" s="13">
        <f t="shared" si="1"/>
        <v>351.42857142857139</v>
      </c>
      <c r="K17" s="7">
        <v>369</v>
      </c>
      <c r="L17" s="11">
        <v>0.6</v>
      </c>
    </row>
    <row r="18" spans="2:12" x14ac:dyDescent="0.35">
      <c r="B18" s="2" t="s">
        <v>570</v>
      </c>
      <c r="C18" s="3">
        <v>100000338877</v>
      </c>
      <c r="D18" s="4">
        <v>186063</v>
      </c>
      <c r="E18" s="16">
        <v>4047443452450</v>
      </c>
      <c r="F18" s="2" t="s">
        <v>576</v>
      </c>
      <c r="G18" s="2" t="s">
        <v>637</v>
      </c>
      <c r="H18" s="6" t="s">
        <v>389</v>
      </c>
      <c r="I18" s="12">
        <f t="shared" si="0"/>
        <v>68.19047619047619</v>
      </c>
      <c r="J18" s="13">
        <f t="shared" si="1"/>
        <v>170.47619047619048</v>
      </c>
      <c r="K18" s="7">
        <v>179</v>
      </c>
      <c r="L18" s="11">
        <v>0.6</v>
      </c>
    </row>
    <row r="19" spans="2:12" x14ac:dyDescent="0.35">
      <c r="B19" s="2" t="s">
        <v>570</v>
      </c>
      <c r="C19" s="3">
        <v>100000338878</v>
      </c>
      <c r="D19" s="4">
        <v>186008</v>
      </c>
      <c r="E19" s="16">
        <v>4047443417091</v>
      </c>
      <c r="F19" s="2" t="s">
        <v>576</v>
      </c>
      <c r="G19" s="2" t="s">
        <v>637</v>
      </c>
      <c r="H19" s="6" t="s">
        <v>390</v>
      </c>
      <c r="I19" s="12">
        <f t="shared" si="0"/>
        <v>56.761904761904759</v>
      </c>
      <c r="J19" s="13">
        <f t="shared" si="1"/>
        <v>141.9047619047619</v>
      </c>
      <c r="K19" s="7">
        <v>149</v>
      </c>
      <c r="L19" s="11">
        <v>0.6</v>
      </c>
    </row>
    <row r="20" spans="2:12" x14ac:dyDescent="0.35">
      <c r="B20" s="2" t="s">
        <v>570</v>
      </c>
      <c r="C20" s="3">
        <v>100000339806</v>
      </c>
      <c r="D20" s="4" t="s">
        <v>614</v>
      </c>
      <c r="E20" s="16">
        <v>4007249011510</v>
      </c>
      <c r="F20" s="2" t="s">
        <v>576</v>
      </c>
      <c r="G20" s="2" t="s">
        <v>637</v>
      </c>
      <c r="H20" s="6" t="s">
        <v>391</v>
      </c>
      <c r="I20" s="12">
        <f t="shared" si="0"/>
        <v>228.1904761904762</v>
      </c>
      <c r="J20" s="13">
        <f t="shared" si="1"/>
        <v>570.47619047619048</v>
      </c>
      <c r="K20" s="7">
        <v>599</v>
      </c>
      <c r="L20" s="11">
        <v>0.6</v>
      </c>
    </row>
    <row r="21" spans="2:12" x14ac:dyDescent="0.35">
      <c r="B21" s="2" t="s">
        <v>570</v>
      </c>
      <c r="C21" s="3">
        <v>100000338879</v>
      </c>
      <c r="D21" s="4" t="s">
        <v>615</v>
      </c>
      <c r="E21" s="16">
        <v>4047443457462</v>
      </c>
      <c r="F21" s="2" t="s">
        <v>576</v>
      </c>
      <c r="G21" s="2" t="s">
        <v>637</v>
      </c>
      <c r="H21" s="6" t="s">
        <v>392</v>
      </c>
      <c r="I21" s="12">
        <f t="shared" si="0"/>
        <v>228.1904761904762</v>
      </c>
      <c r="J21" s="13">
        <f t="shared" si="1"/>
        <v>570.47619047619048</v>
      </c>
      <c r="K21" s="7">
        <v>599</v>
      </c>
      <c r="L21" s="11">
        <v>0.6</v>
      </c>
    </row>
    <row r="22" spans="2:12" x14ac:dyDescent="0.35">
      <c r="B22" s="2" t="s">
        <v>570</v>
      </c>
      <c r="C22" s="3">
        <v>100000338882</v>
      </c>
      <c r="D22" s="4" t="s">
        <v>616</v>
      </c>
      <c r="E22" s="16">
        <v>4047443457455</v>
      </c>
      <c r="F22" s="2" t="s">
        <v>576</v>
      </c>
      <c r="G22" s="2" t="s">
        <v>637</v>
      </c>
      <c r="H22" s="6" t="s">
        <v>393</v>
      </c>
      <c r="I22" s="12">
        <f t="shared" si="0"/>
        <v>113.90476190476191</v>
      </c>
      <c r="J22" s="13">
        <f t="shared" si="1"/>
        <v>284.76190476190476</v>
      </c>
      <c r="K22" s="7">
        <v>299</v>
      </c>
      <c r="L22" s="11">
        <v>0.59999999999999987</v>
      </c>
    </row>
    <row r="23" spans="2:12" x14ac:dyDescent="0.35">
      <c r="B23" s="2" t="s">
        <v>570</v>
      </c>
      <c r="C23" s="3">
        <v>100000339807</v>
      </c>
      <c r="D23" s="4" t="s">
        <v>617</v>
      </c>
      <c r="E23" s="16">
        <v>4047443457486</v>
      </c>
      <c r="F23" s="2" t="s">
        <v>576</v>
      </c>
      <c r="G23" s="2" t="s">
        <v>637</v>
      </c>
      <c r="H23" s="6" t="s">
        <v>394</v>
      </c>
      <c r="I23" s="12">
        <f t="shared" si="0"/>
        <v>75.80952380952381</v>
      </c>
      <c r="J23" s="13">
        <f t="shared" si="1"/>
        <v>189.52380952380952</v>
      </c>
      <c r="K23" s="7">
        <v>199</v>
      </c>
      <c r="L23" s="11">
        <v>0.6</v>
      </c>
    </row>
    <row r="24" spans="2:12" x14ac:dyDescent="0.35">
      <c r="B24" s="2" t="s">
        <v>570</v>
      </c>
      <c r="C24" s="3">
        <v>100000338881</v>
      </c>
      <c r="D24" s="4">
        <v>186038</v>
      </c>
      <c r="E24" s="16">
        <v>4047443429094</v>
      </c>
      <c r="F24" s="2" t="s">
        <v>576</v>
      </c>
      <c r="G24" s="2" t="s">
        <v>637</v>
      </c>
      <c r="H24" s="6" t="s">
        <v>395</v>
      </c>
      <c r="I24" s="12">
        <f t="shared" si="0"/>
        <v>49.142857142857139</v>
      </c>
      <c r="J24" s="13">
        <f t="shared" si="1"/>
        <v>122.85714285714285</v>
      </c>
      <c r="K24" s="7">
        <v>129</v>
      </c>
      <c r="L24" s="11">
        <v>0.6</v>
      </c>
    </row>
    <row r="25" spans="2:12" x14ac:dyDescent="0.35">
      <c r="B25" s="2" t="s">
        <v>570</v>
      </c>
      <c r="C25" s="3">
        <v>100000326677</v>
      </c>
      <c r="D25" s="4">
        <v>186007</v>
      </c>
      <c r="E25" s="16">
        <v>4047443417022</v>
      </c>
      <c r="F25" s="2" t="s">
        <v>577</v>
      </c>
      <c r="G25" s="2" t="s">
        <v>637</v>
      </c>
      <c r="H25" s="6" t="s">
        <v>408</v>
      </c>
      <c r="I25" s="12">
        <f t="shared" si="0"/>
        <v>49.142857142857139</v>
      </c>
      <c r="J25" s="13">
        <f t="shared" si="1"/>
        <v>122.85714285714285</v>
      </c>
      <c r="K25" s="7">
        <v>129</v>
      </c>
      <c r="L25" s="11">
        <v>0.6</v>
      </c>
    </row>
    <row r="26" spans="2:12" x14ac:dyDescent="0.35">
      <c r="B26" s="2" t="s">
        <v>570</v>
      </c>
      <c r="C26" s="3">
        <v>100000326676</v>
      </c>
      <c r="D26" s="4">
        <v>186023</v>
      </c>
      <c r="E26" s="16">
        <v>4047443427342</v>
      </c>
      <c r="F26" s="2" t="s">
        <v>577</v>
      </c>
      <c r="G26" s="2" t="s">
        <v>637</v>
      </c>
      <c r="H26" s="6" t="s">
        <v>409</v>
      </c>
      <c r="I26" s="12">
        <f t="shared" si="0"/>
        <v>64.38095238095238</v>
      </c>
      <c r="J26" s="13">
        <f t="shared" si="1"/>
        <v>160.95238095238093</v>
      </c>
      <c r="K26" s="7">
        <v>169</v>
      </c>
      <c r="L26" s="11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B767-6E48-4EC4-A673-001C80BDC538}">
  <sheetPr>
    <tabColor rgb="FF7030A0"/>
  </sheetPr>
  <dimension ref="B1:L69"/>
  <sheetViews>
    <sheetView tabSelected="1" zoomScale="80" zoomScaleNormal="80" workbookViewId="0">
      <selection activeCell="E11" sqref="E11:E12"/>
    </sheetView>
  </sheetViews>
  <sheetFormatPr defaultRowHeight="14.5" x14ac:dyDescent="0.35"/>
  <cols>
    <col min="2" max="2" width="7" bestFit="1" customWidth="1"/>
    <col min="3" max="3" width="14.7265625" customWidth="1"/>
    <col min="4" max="4" width="10.26953125" customWidth="1"/>
    <col min="5" max="5" width="15.90625" bestFit="1" customWidth="1"/>
    <col min="6" max="6" width="15.36328125" bestFit="1" customWidth="1"/>
    <col min="7" max="7" width="9.6328125" customWidth="1"/>
    <col min="8" max="8" width="75.81640625" bestFit="1" customWidth="1"/>
    <col min="9" max="9" width="9.08984375" customWidth="1"/>
    <col min="10" max="10" width="7.1796875" bestFit="1" customWidth="1"/>
    <col min="11" max="11" width="11.453125" customWidth="1"/>
    <col min="12" max="12" width="7.7265625" bestFit="1" customWidth="1"/>
  </cols>
  <sheetData>
    <row r="1" spans="2:12" ht="28" x14ac:dyDescent="0.35">
      <c r="B1" s="8" t="s">
        <v>0</v>
      </c>
      <c r="C1" s="8" t="s">
        <v>1</v>
      </c>
      <c r="D1" s="8" t="s">
        <v>692</v>
      </c>
      <c r="E1" s="15" t="s">
        <v>632</v>
      </c>
      <c r="F1" s="8" t="s">
        <v>3</v>
      </c>
      <c r="G1" s="8" t="s">
        <v>636</v>
      </c>
      <c r="H1" s="9" t="s">
        <v>2</v>
      </c>
      <c r="I1" s="10" t="s">
        <v>633</v>
      </c>
      <c r="J1" s="10" t="s">
        <v>634</v>
      </c>
      <c r="K1" s="10" t="s">
        <v>635</v>
      </c>
      <c r="L1" s="10" t="s">
        <v>4</v>
      </c>
    </row>
    <row r="2" spans="2:12" x14ac:dyDescent="0.35">
      <c r="B2" s="2" t="s">
        <v>571</v>
      </c>
      <c r="C2" s="3">
        <v>100000338250</v>
      </c>
      <c r="D2" s="4">
        <v>95302</v>
      </c>
      <c r="E2" s="16">
        <v>4047443192547</v>
      </c>
      <c r="F2" s="2" t="s">
        <v>578</v>
      </c>
      <c r="G2" s="2" t="s">
        <v>637</v>
      </c>
      <c r="H2" s="6" t="s">
        <v>480</v>
      </c>
      <c r="I2" s="12">
        <f t="shared" ref="I2:I65" si="0">0.4*J2</f>
        <v>14.857142857142856</v>
      </c>
      <c r="J2" s="13">
        <f t="shared" ref="J2:J65" si="1">K2/(1+5%)</f>
        <v>37.142857142857139</v>
      </c>
      <c r="K2" s="7">
        <v>39</v>
      </c>
      <c r="L2" s="11">
        <v>0.60000000000000009</v>
      </c>
    </row>
    <row r="3" spans="2:12" x14ac:dyDescent="0.35">
      <c r="B3" s="2" t="s">
        <v>571</v>
      </c>
      <c r="C3" s="3">
        <v>100000338251</v>
      </c>
      <c r="D3" s="4">
        <v>95303</v>
      </c>
      <c r="E3" s="16">
        <v>4047443192554</v>
      </c>
      <c r="F3" s="2" t="s">
        <v>578</v>
      </c>
      <c r="G3" s="2" t="s">
        <v>637</v>
      </c>
      <c r="H3" s="6" t="s">
        <v>481</v>
      </c>
      <c r="I3" s="12">
        <f t="shared" si="0"/>
        <v>14.857142857142856</v>
      </c>
      <c r="J3" s="13">
        <f t="shared" si="1"/>
        <v>37.142857142857139</v>
      </c>
      <c r="K3" s="7">
        <v>39</v>
      </c>
      <c r="L3" s="11">
        <v>0.60000000000000009</v>
      </c>
    </row>
    <row r="4" spans="2:12" x14ac:dyDescent="0.35">
      <c r="B4" s="2" t="s">
        <v>571</v>
      </c>
      <c r="C4" s="3">
        <v>100000338252</v>
      </c>
      <c r="D4" s="4">
        <v>95304</v>
      </c>
      <c r="E4" s="16">
        <v>4047443192561</v>
      </c>
      <c r="F4" s="2" t="s">
        <v>578</v>
      </c>
      <c r="G4" s="2" t="s">
        <v>637</v>
      </c>
      <c r="H4" s="6" t="s">
        <v>482</v>
      </c>
      <c r="I4" s="12">
        <f t="shared" si="0"/>
        <v>18.666666666666668</v>
      </c>
      <c r="J4" s="13">
        <f t="shared" si="1"/>
        <v>46.666666666666664</v>
      </c>
      <c r="K4" s="7">
        <v>49</v>
      </c>
      <c r="L4" s="11">
        <v>0.6</v>
      </c>
    </row>
    <row r="5" spans="2:12" x14ac:dyDescent="0.35">
      <c r="B5" s="2" t="s">
        <v>571</v>
      </c>
      <c r="C5" s="3">
        <v>100000338253</v>
      </c>
      <c r="D5" s="4">
        <v>95316</v>
      </c>
      <c r="E5" s="16">
        <v>4007249953162</v>
      </c>
      <c r="F5" s="2" t="s">
        <v>578</v>
      </c>
      <c r="G5" s="2" t="s">
        <v>637</v>
      </c>
      <c r="H5" s="6" t="s">
        <v>483</v>
      </c>
      <c r="I5" s="12">
        <f t="shared" si="0"/>
        <v>30.095238095238098</v>
      </c>
      <c r="J5" s="13">
        <f t="shared" si="1"/>
        <v>75.238095238095241</v>
      </c>
      <c r="K5" s="7">
        <v>79</v>
      </c>
      <c r="L5" s="11">
        <v>0.6</v>
      </c>
    </row>
    <row r="6" spans="2:12" x14ac:dyDescent="0.35">
      <c r="B6" s="2" t="s">
        <v>571</v>
      </c>
      <c r="C6" s="3">
        <v>100000338254</v>
      </c>
      <c r="D6" s="4">
        <v>95317</v>
      </c>
      <c r="E6" s="16">
        <v>4007249953179</v>
      </c>
      <c r="F6" s="2" t="s">
        <v>578</v>
      </c>
      <c r="G6" s="2" t="s">
        <v>637</v>
      </c>
      <c r="H6" s="6" t="s">
        <v>484</v>
      </c>
      <c r="I6" s="12">
        <f t="shared" si="0"/>
        <v>30.095238095238098</v>
      </c>
      <c r="J6" s="13">
        <f t="shared" si="1"/>
        <v>75.238095238095241</v>
      </c>
      <c r="K6" s="7">
        <v>79</v>
      </c>
      <c r="L6" s="11">
        <v>0.6</v>
      </c>
    </row>
    <row r="7" spans="2:12" x14ac:dyDescent="0.35">
      <c r="B7" s="2" t="s">
        <v>571</v>
      </c>
      <c r="C7" s="3">
        <v>100000338255</v>
      </c>
      <c r="D7" s="4">
        <v>95318</v>
      </c>
      <c r="E7" s="16">
        <v>4007249953186</v>
      </c>
      <c r="F7" s="2" t="s">
        <v>578</v>
      </c>
      <c r="G7" s="2" t="s">
        <v>637</v>
      </c>
      <c r="H7" s="6" t="s">
        <v>485</v>
      </c>
      <c r="I7" s="12">
        <f t="shared" si="0"/>
        <v>33.904761904761905</v>
      </c>
      <c r="J7" s="13">
        <f t="shared" si="1"/>
        <v>84.761904761904759</v>
      </c>
      <c r="K7" s="7">
        <v>89</v>
      </c>
      <c r="L7" s="11">
        <v>0.6</v>
      </c>
    </row>
    <row r="8" spans="2:12" x14ac:dyDescent="0.35">
      <c r="B8" s="2" t="s">
        <v>571</v>
      </c>
      <c r="C8" s="3">
        <v>100000338256</v>
      </c>
      <c r="D8" s="4">
        <v>95319</v>
      </c>
      <c r="E8" s="16">
        <v>4007249953193</v>
      </c>
      <c r="F8" s="2" t="s">
        <v>578</v>
      </c>
      <c r="G8" s="2" t="s">
        <v>637</v>
      </c>
      <c r="H8" s="6" t="s">
        <v>486</v>
      </c>
      <c r="I8" s="12">
        <f t="shared" si="0"/>
        <v>33.904761904761905</v>
      </c>
      <c r="J8" s="13">
        <f t="shared" si="1"/>
        <v>84.761904761904759</v>
      </c>
      <c r="K8" s="7">
        <v>89</v>
      </c>
      <c r="L8" s="11">
        <v>0.6</v>
      </c>
    </row>
    <row r="9" spans="2:12" x14ac:dyDescent="0.35">
      <c r="B9" s="2" t="s">
        <v>571</v>
      </c>
      <c r="C9" s="3">
        <v>100000338257</v>
      </c>
      <c r="D9" s="4">
        <v>95326</v>
      </c>
      <c r="E9" s="16">
        <v>4007249953261</v>
      </c>
      <c r="F9" s="2" t="s">
        <v>578</v>
      </c>
      <c r="G9" s="2" t="s">
        <v>637</v>
      </c>
      <c r="H9" s="6" t="s">
        <v>487</v>
      </c>
      <c r="I9" s="12">
        <f t="shared" si="0"/>
        <v>33.904761904761905</v>
      </c>
      <c r="J9" s="13">
        <f t="shared" si="1"/>
        <v>84.761904761904759</v>
      </c>
      <c r="K9" s="7">
        <v>89</v>
      </c>
      <c r="L9" s="11">
        <v>0.6</v>
      </c>
    </row>
    <row r="10" spans="2:12" x14ac:dyDescent="0.35">
      <c r="B10" s="2" t="s">
        <v>571</v>
      </c>
      <c r="C10" s="3">
        <v>100000338258</v>
      </c>
      <c r="D10" s="4">
        <v>106993</v>
      </c>
      <c r="E10" s="16">
        <v>4047443174123</v>
      </c>
      <c r="F10" s="2" t="s">
        <v>578</v>
      </c>
      <c r="G10" s="2" t="s">
        <v>637</v>
      </c>
      <c r="H10" s="6" t="s">
        <v>488</v>
      </c>
      <c r="I10" s="12">
        <f t="shared" si="0"/>
        <v>30.095238095238098</v>
      </c>
      <c r="J10" s="13">
        <f t="shared" si="1"/>
        <v>75.238095238095241</v>
      </c>
      <c r="K10" s="7">
        <v>79</v>
      </c>
      <c r="L10" s="11">
        <v>0.6</v>
      </c>
    </row>
    <row r="11" spans="2:12" x14ac:dyDescent="0.35">
      <c r="B11" s="2" t="s">
        <v>571</v>
      </c>
      <c r="C11" s="3">
        <v>100000338293</v>
      </c>
      <c r="D11" s="4">
        <v>110207</v>
      </c>
      <c r="E11" s="16">
        <v>4047443418203</v>
      </c>
      <c r="F11" s="2" t="s">
        <v>578</v>
      </c>
      <c r="G11" s="2" t="s">
        <v>637</v>
      </c>
      <c r="H11" s="6" t="s">
        <v>489</v>
      </c>
      <c r="I11" s="12">
        <f t="shared" si="0"/>
        <v>68.19047619047619</v>
      </c>
      <c r="J11" s="13">
        <f t="shared" si="1"/>
        <v>170.47619047619048</v>
      </c>
      <c r="K11" s="7">
        <v>179</v>
      </c>
      <c r="L11" s="11">
        <v>0.6</v>
      </c>
    </row>
    <row r="12" spans="2:12" x14ac:dyDescent="0.35">
      <c r="B12" s="2" t="s">
        <v>571</v>
      </c>
      <c r="C12" s="3">
        <v>100000338259</v>
      </c>
      <c r="D12" s="4">
        <v>110225</v>
      </c>
      <c r="E12" s="16">
        <v>4047443425546</v>
      </c>
      <c r="F12" s="2" t="s">
        <v>578</v>
      </c>
      <c r="G12" s="2" t="s">
        <v>637</v>
      </c>
      <c r="H12" s="6" t="s">
        <v>490</v>
      </c>
      <c r="I12" s="12">
        <f t="shared" si="0"/>
        <v>171.04761904761904</v>
      </c>
      <c r="J12" s="13">
        <f t="shared" si="1"/>
        <v>427.61904761904759</v>
      </c>
      <c r="K12" s="7">
        <v>449</v>
      </c>
      <c r="L12" s="11">
        <v>0.6</v>
      </c>
    </row>
    <row r="13" spans="2:12" x14ac:dyDescent="0.35">
      <c r="B13" s="2" t="s">
        <v>571</v>
      </c>
      <c r="C13" s="3">
        <v>100000338260</v>
      </c>
      <c r="D13" s="4">
        <v>110815</v>
      </c>
      <c r="E13" s="16">
        <v>4047443004949</v>
      </c>
      <c r="F13" s="2" t="s">
        <v>578</v>
      </c>
      <c r="G13" s="2" t="s">
        <v>637</v>
      </c>
      <c r="H13" s="6" t="s">
        <v>491</v>
      </c>
      <c r="I13" s="12">
        <f t="shared" si="0"/>
        <v>75.80952380952381</v>
      </c>
      <c r="J13" s="13">
        <f t="shared" si="1"/>
        <v>189.52380952380952</v>
      </c>
      <c r="K13" s="7">
        <v>199</v>
      </c>
      <c r="L13" s="11">
        <v>0.6</v>
      </c>
    </row>
    <row r="14" spans="2:12" x14ac:dyDescent="0.35">
      <c r="B14" s="2" t="s">
        <v>571</v>
      </c>
      <c r="C14" s="3">
        <v>100000338261</v>
      </c>
      <c r="D14" s="4">
        <v>110823</v>
      </c>
      <c r="E14" s="16">
        <v>4047443005021</v>
      </c>
      <c r="F14" s="2" t="s">
        <v>578</v>
      </c>
      <c r="G14" s="2" t="s">
        <v>637</v>
      </c>
      <c r="H14" s="6" t="s">
        <v>492</v>
      </c>
      <c r="I14" s="12">
        <f t="shared" si="0"/>
        <v>18.666666666666668</v>
      </c>
      <c r="J14" s="13">
        <f t="shared" si="1"/>
        <v>46.666666666666664</v>
      </c>
      <c r="K14" s="7">
        <v>49</v>
      </c>
      <c r="L14" s="11">
        <v>0.6</v>
      </c>
    </row>
    <row r="15" spans="2:12" x14ac:dyDescent="0.35">
      <c r="B15" s="2" t="s">
        <v>571</v>
      </c>
      <c r="C15" s="3">
        <v>100000338262</v>
      </c>
      <c r="D15" s="4">
        <v>110831</v>
      </c>
      <c r="E15" s="16">
        <v>4047443005106</v>
      </c>
      <c r="F15" s="2" t="s">
        <v>578</v>
      </c>
      <c r="G15" s="2" t="s">
        <v>637</v>
      </c>
      <c r="H15" s="6" t="s">
        <v>493</v>
      </c>
      <c r="I15" s="12">
        <f t="shared" si="0"/>
        <v>11.047619047619047</v>
      </c>
      <c r="J15" s="13">
        <f t="shared" si="1"/>
        <v>27.619047619047617</v>
      </c>
      <c r="K15" s="7">
        <v>29</v>
      </c>
      <c r="L15" s="11">
        <v>0.6</v>
      </c>
    </row>
    <row r="16" spans="2:12" x14ac:dyDescent="0.35">
      <c r="B16" s="2" t="s">
        <v>571</v>
      </c>
      <c r="C16" s="3">
        <v>100000338263</v>
      </c>
      <c r="D16" s="4">
        <v>110879</v>
      </c>
      <c r="E16" s="16">
        <v>4047443005588</v>
      </c>
      <c r="F16" s="2" t="s">
        <v>578</v>
      </c>
      <c r="G16" s="2" t="s">
        <v>637</v>
      </c>
      <c r="H16" s="6" t="s">
        <v>494</v>
      </c>
      <c r="I16" s="12">
        <f t="shared" si="0"/>
        <v>22.476190476190478</v>
      </c>
      <c r="J16" s="13">
        <f t="shared" si="1"/>
        <v>56.19047619047619</v>
      </c>
      <c r="K16" s="7">
        <v>59</v>
      </c>
      <c r="L16" s="11">
        <v>0.59999999999999987</v>
      </c>
    </row>
    <row r="17" spans="2:12" x14ac:dyDescent="0.35">
      <c r="B17" s="2" t="s">
        <v>571</v>
      </c>
      <c r="C17" s="3">
        <v>100000338264</v>
      </c>
      <c r="D17" s="4">
        <v>111010</v>
      </c>
      <c r="E17" s="16">
        <v>4047443015969</v>
      </c>
      <c r="F17" s="2" t="s">
        <v>578</v>
      </c>
      <c r="G17" s="2" t="s">
        <v>637</v>
      </c>
      <c r="H17" s="6" t="s">
        <v>495</v>
      </c>
      <c r="I17" s="12">
        <f t="shared" si="0"/>
        <v>5.7142857142857144</v>
      </c>
      <c r="J17" s="13">
        <f t="shared" si="1"/>
        <v>14.285714285714285</v>
      </c>
      <c r="K17" s="7">
        <v>15</v>
      </c>
      <c r="L17" s="11">
        <v>0.59999999999999987</v>
      </c>
    </row>
    <row r="18" spans="2:12" x14ac:dyDescent="0.35">
      <c r="B18" s="2" t="s">
        <v>571</v>
      </c>
      <c r="C18" s="3">
        <v>100000338265</v>
      </c>
      <c r="D18" s="4">
        <v>111013</v>
      </c>
      <c r="E18" s="16">
        <v>4047443019431</v>
      </c>
      <c r="F18" s="2" t="s">
        <v>578</v>
      </c>
      <c r="G18" s="2" t="s">
        <v>637</v>
      </c>
      <c r="H18" s="6" t="s">
        <v>496</v>
      </c>
      <c r="I18" s="12">
        <f t="shared" si="0"/>
        <v>18.666666666666668</v>
      </c>
      <c r="J18" s="13">
        <f t="shared" si="1"/>
        <v>46.666666666666664</v>
      </c>
      <c r="K18" s="7">
        <v>49</v>
      </c>
      <c r="L18" s="11">
        <v>0.6</v>
      </c>
    </row>
    <row r="19" spans="2:12" x14ac:dyDescent="0.35">
      <c r="B19" s="2" t="s">
        <v>571</v>
      </c>
      <c r="C19" s="3">
        <v>100000338266</v>
      </c>
      <c r="D19" s="4">
        <v>111014</v>
      </c>
      <c r="E19" s="16">
        <v>4047443019622</v>
      </c>
      <c r="F19" s="2" t="s">
        <v>578</v>
      </c>
      <c r="G19" s="2" t="s">
        <v>637</v>
      </c>
      <c r="H19" s="6" t="s">
        <v>497</v>
      </c>
      <c r="I19" s="12">
        <f t="shared" si="0"/>
        <v>41.523809523809526</v>
      </c>
      <c r="J19" s="13">
        <f t="shared" si="1"/>
        <v>103.80952380952381</v>
      </c>
      <c r="K19" s="7">
        <v>109</v>
      </c>
      <c r="L19" s="11">
        <v>0.6</v>
      </c>
    </row>
    <row r="20" spans="2:12" x14ac:dyDescent="0.35">
      <c r="B20" s="2" t="s">
        <v>571</v>
      </c>
      <c r="C20" s="3">
        <v>100000338267</v>
      </c>
      <c r="D20" s="4">
        <v>111018</v>
      </c>
      <c r="E20" s="16">
        <v>4047443019929</v>
      </c>
      <c r="F20" s="2" t="s">
        <v>578</v>
      </c>
      <c r="G20" s="2" t="s">
        <v>637</v>
      </c>
      <c r="H20" s="6" t="s">
        <v>498</v>
      </c>
      <c r="I20" s="12">
        <f t="shared" si="0"/>
        <v>26.285714285714285</v>
      </c>
      <c r="J20" s="13">
        <f t="shared" si="1"/>
        <v>65.714285714285708</v>
      </c>
      <c r="K20" s="7">
        <v>69</v>
      </c>
      <c r="L20" s="11">
        <v>0.6</v>
      </c>
    </row>
    <row r="21" spans="2:12" x14ac:dyDescent="0.35">
      <c r="B21" s="2" t="s">
        <v>571</v>
      </c>
      <c r="C21" s="3">
        <v>100000338268</v>
      </c>
      <c r="D21" s="4">
        <v>111059</v>
      </c>
      <c r="E21" s="16">
        <v>4047443052469</v>
      </c>
      <c r="F21" s="2" t="s">
        <v>578</v>
      </c>
      <c r="G21" s="2" t="s">
        <v>637</v>
      </c>
      <c r="H21" s="6" t="s">
        <v>499</v>
      </c>
      <c r="I21" s="12">
        <f t="shared" si="0"/>
        <v>18.666666666666668</v>
      </c>
      <c r="J21" s="13">
        <f t="shared" si="1"/>
        <v>46.666666666666664</v>
      </c>
      <c r="K21" s="7">
        <v>49</v>
      </c>
      <c r="L21" s="11">
        <v>0.6</v>
      </c>
    </row>
    <row r="22" spans="2:12" x14ac:dyDescent="0.35">
      <c r="B22" s="2" t="s">
        <v>571</v>
      </c>
      <c r="C22" s="3">
        <v>100000338269</v>
      </c>
      <c r="D22" s="4">
        <v>111074</v>
      </c>
      <c r="E22" s="16">
        <v>4047443047663</v>
      </c>
      <c r="F22" s="2" t="s">
        <v>578</v>
      </c>
      <c r="G22" s="2" t="s">
        <v>637</v>
      </c>
      <c r="H22" s="6" t="s">
        <v>500</v>
      </c>
      <c r="I22" s="12">
        <f t="shared" si="0"/>
        <v>75.80952380952381</v>
      </c>
      <c r="J22" s="13">
        <f t="shared" si="1"/>
        <v>189.52380952380952</v>
      </c>
      <c r="K22" s="7">
        <v>199</v>
      </c>
      <c r="L22" s="11">
        <v>0.6</v>
      </c>
    </row>
    <row r="23" spans="2:12" x14ac:dyDescent="0.35">
      <c r="B23" s="2" t="s">
        <v>571</v>
      </c>
      <c r="C23" s="3">
        <v>100000338270</v>
      </c>
      <c r="D23" s="4">
        <v>111075</v>
      </c>
      <c r="E23" s="16">
        <v>4047443048301</v>
      </c>
      <c r="F23" s="2" t="s">
        <v>578</v>
      </c>
      <c r="G23" s="2" t="s">
        <v>637</v>
      </c>
      <c r="H23" s="6" t="s">
        <v>501</v>
      </c>
      <c r="I23" s="12">
        <f t="shared" si="0"/>
        <v>33.904761904761905</v>
      </c>
      <c r="J23" s="13">
        <f t="shared" si="1"/>
        <v>84.761904761904759</v>
      </c>
      <c r="K23" s="7">
        <v>89</v>
      </c>
      <c r="L23" s="11">
        <v>0.6</v>
      </c>
    </row>
    <row r="24" spans="2:12" x14ac:dyDescent="0.35">
      <c r="B24" s="2" t="s">
        <v>571</v>
      </c>
      <c r="C24" s="3">
        <v>100000338271</v>
      </c>
      <c r="D24" s="4">
        <v>111079</v>
      </c>
      <c r="E24" s="16">
        <v>4047443052421</v>
      </c>
      <c r="F24" s="2" t="s">
        <v>578</v>
      </c>
      <c r="G24" s="2" t="s">
        <v>637</v>
      </c>
      <c r="H24" s="6" t="s">
        <v>502</v>
      </c>
      <c r="I24" s="12">
        <f t="shared" si="0"/>
        <v>49.142857142857139</v>
      </c>
      <c r="J24" s="13">
        <f t="shared" si="1"/>
        <v>122.85714285714285</v>
      </c>
      <c r="K24" s="7">
        <v>129</v>
      </c>
      <c r="L24" s="11">
        <v>0.6</v>
      </c>
    </row>
    <row r="25" spans="2:12" x14ac:dyDescent="0.35">
      <c r="B25" s="2" t="s">
        <v>571</v>
      </c>
      <c r="C25" s="3">
        <v>100000338272</v>
      </c>
      <c r="D25" s="4">
        <v>111106</v>
      </c>
      <c r="E25" s="16">
        <v>4047443079411</v>
      </c>
      <c r="F25" s="2" t="s">
        <v>578</v>
      </c>
      <c r="G25" s="2" t="s">
        <v>637</v>
      </c>
      <c r="H25" s="6" t="s">
        <v>503</v>
      </c>
      <c r="I25" s="12">
        <f t="shared" si="0"/>
        <v>9.5238095238095237</v>
      </c>
      <c r="J25" s="13">
        <f t="shared" si="1"/>
        <v>23.80952380952381</v>
      </c>
      <c r="K25" s="7">
        <v>25</v>
      </c>
      <c r="L25" s="11">
        <v>0.6</v>
      </c>
    </row>
    <row r="26" spans="2:12" x14ac:dyDescent="0.35">
      <c r="B26" s="2" t="s">
        <v>571</v>
      </c>
      <c r="C26" s="3">
        <v>100000338273</v>
      </c>
      <c r="D26" s="4">
        <v>111149</v>
      </c>
      <c r="E26" s="16">
        <v>4047443141569</v>
      </c>
      <c r="F26" s="2" t="s">
        <v>578</v>
      </c>
      <c r="G26" s="2" t="s">
        <v>637</v>
      </c>
      <c r="H26" s="6" t="s">
        <v>504</v>
      </c>
      <c r="I26" s="12">
        <f t="shared" si="0"/>
        <v>56.761904761904759</v>
      </c>
      <c r="J26" s="13">
        <f t="shared" si="1"/>
        <v>141.9047619047619</v>
      </c>
      <c r="K26" s="7">
        <v>149</v>
      </c>
      <c r="L26" s="11">
        <v>0.6</v>
      </c>
    </row>
    <row r="27" spans="2:12" x14ac:dyDescent="0.35">
      <c r="B27" s="2" t="s">
        <v>571</v>
      </c>
      <c r="C27" s="3">
        <v>100000338274</v>
      </c>
      <c r="D27" s="4">
        <v>111166</v>
      </c>
      <c r="E27" s="16">
        <v>4047443162205</v>
      </c>
      <c r="F27" s="2" t="s">
        <v>578</v>
      </c>
      <c r="G27" s="2" t="s">
        <v>637</v>
      </c>
      <c r="H27" s="6" t="s">
        <v>505</v>
      </c>
      <c r="I27" s="12">
        <f t="shared" si="0"/>
        <v>24.761904761904763</v>
      </c>
      <c r="J27" s="13">
        <f t="shared" si="1"/>
        <v>61.904761904761905</v>
      </c>
      <c r="K27" s="7">
        <v>65</v>
      </c>
      <c r="L27" s="11">
        <v>0.6</v>
      </c>
    </row>
    <row r="28" spans="2:12" x14ac:dyDescent="0.35">
      <c r="B28" s="2" t="s">
        <v>571</v>
      </c>
      <c r="C28" s="3">
        <v>100000338275</v>
      </c>
      <c r="D28" s="4">
        <v>111190</v>
      </c>
      <c r="E28" s="16">
        <v>4047443253262</v>
      </c>
      <c r="F28" s="2" t="s">
        <v>578</v>
      </c>
      <c r="G28" s="2" t="s">
        <v>637</v>
      </c>
      <c r="H28" s="6" t="s">
        <v>506</v>
      </c>
      <c r="I28" s="12">
        <f t="shared" si="0"/>
        <v>37.714285714285715</v>
      </c>
      <c r="J28" s="13">
        <f t="shared" si="1"/>
        <v>94.285714285714278</v>
      </c>
      <c r="K28" s="7">
        <v>99</v>
      </c>
      <c r="L28" s="11">
        <v>0.6</v>
      </c>
    </row>
    <row r="29" spans="2:12" x14ac:dyDescent="0.35">
      <c r="B29" s="2" t="s">
        <v>571</v>
      </c>
      <c r="C29" s="3">
        <v>100000338277</v>
      </c>
      <c r="D29" s="4">
        <v>111220</v>
      </c>
      <c r="E29" s="16">
        <v>4047443320469</v>
      </c>
      <c r="F29" s="2" t="s">
        <v>578</v>
      </c>
      <c r="G29" s="2" t="s">
        <v>637</v>
      </c>
      <c r="H29" s="6" t="s">
        <v>507</v>
      </c>
      <c r="I29" s="12">
        <f t="shared" si="0"/>
        <v>33.904761904761905</v>
      </c>
      <c r="J29" s="13">
        <f t="shared" si="1"/>
        <v>84.761904761904759</v>
      </c>
      <c r="K29" s="7">
        <v>89</v>
      </c>
      <c r="L29" s="11">
        <v>0.6</v>
      </c>
    </row>
    <row r="30" spans="2:12" x14ac:dyDescent="0.35">
      <c r="B30" s="2" t="s">
        <v>571</v>
      </c>
      <c r="C30" s="3">
        <v>100000338278</v>
      </c>
      <c r="D30" s="4">
        <v>111221</v>
      </c>
      <c r="E30" s="16">
        <v>4047443324634</v>
      </c>
      <c r="F30" s="2" t="s">
        <v>578</v>
      </c>
      <c r="G30" s="2" t="s">
        <v>637</v>
      </c>
      <c r="H30" s="6" t="s">
        <v>508</v>
      </c>
      <c r="I30" s="12">
        <f t="shared" si="0"/>
        <v>14.857142857142856</v>
      </c>
      <c r="J30" s="13">
        <f t="shared" si="1"/>
        <v>37.142857142857139</v>
      </c>
      <c r="K30" s="7">
        <v>39</v>
      </c>
      <c r="L30" s="11">
        <v>0.60000000000000009</v>
      </c>
    </row>
    <row r="31" spans="2:12" x14ac:dyDescent="0.35">
      <c r="B31" s="2" t="s">
        <v>571</v>
      </c>
      <c r="C31" s="3">
        <v>100000338279</v>
      </c>
      <c r="D31" s="4">
        <v>111227</v>
      </c>
      <c r="E31" s="16">
        <v>4047443344830</v>
      </c>
      <c r="F31" s="2" t="s">
        <v>578</v>
      </c>
      <c r="G31" s="2" t="s">
        <v>637</v>
      </c>
      <c r="H31" s="6" t="s">
        <v>509</v>
      </c>
      <c r="I31" s="12">
        <f t="shared" si="0"/>
        <v>22.476190476190478</v>
      </c>
      <c r="J31" s="13">
        <f t="shared" si="1"/>
        <v>56.19047619047619</v>
      </c>
      <c r="K31" s="7">
        <v>59</v>
      </c>
      <c r="L31" s="11">
        <v>0.59999999999999987</v>
      </c>
    </row>
    <row r="32" spans="2:12" x14ac:dyDescent="0.35">
      <c r="B32" s="2" t="s">
        <v>571</v>
      </c>
      <c r="C32" s="3">
        <v>100000338280</v>
      </c>
      <c r="D32" s="4">
        <v>111239</v>
      </c>
      <c r="E32" s="16">
        <v>4047443406224</v>
      </c>
      <c r="F32" s="2" t="s">
        <v>578</v>
      </c>
      <c r="G32" s="2" t="s">
        <v>637</v>
      </c>
      <c r="H32" s="6" t="s">
        <v>510</v>
      </c>
      <c r="I32" s="12">
        <f t="shared" si="0"/>
        <v>56.761904761904759</v>
      </c>
      <c r="J32" s="13">
        <f t="shared" si="1"/>
        <v>141.9047619047619</v>
      </c>
      <c r="K32" s="7">
        <v>149</v>
      </c>
      <c r="L32" s="11">
        <v>0.6</v>
      </c>
    </row>
    <row r="33" spans="2:12" x14ac:dyDescent="0.35">
      <c r="B33" s="2" t="s">
        <v>571</v>
      </c>
      <c r="C33" s="3">
        <v>100000338281</v>
      </c>
      <c r="D33" s="4">
        <v>111245</v>
      </c>
      <c r="E33" s="16">
        <v>4047443421036</v>
      </c>
      <c r="F33" s="2" t="s">
        <v>578</v>
      </c>
      <c r="G33" s="2" t="s">
        <v>637</v>
      </c>
      <c r="H33" s="6" t="s">
        <v>511</v>
      </c>
      <c r="I33" s="12">
        <f t="shared" si="0"/>
        <v>64.38095238095238</v>
      </c>
      <c r="J33" s="13">
        <f t="shared" si="1"/>
        <v>160.95238095238093</v>
      </c>
      <c r="K33" s="7">
        <v>169</v>
      </c>
      <c r="L33" s="11">
        <v>0.6</v>
      </c>
    </row>
    <row r="34" spans="2:12" x14ac:dyDescent="0.35">
      <c r="B34" s="2" t="s">
        <v>571</v>
      </c>
      <c r="C34" s="3">
        <v>100000338282</v>
      </c>
      <c r="D34" s="4">
        <v>111247</v>
      </c>
      <c r="E34" s="16">
        <v>4047443422231</v>
      </c>
      <c r="F34" s="2" t="s">
        <v>578</v>
      </c>
      <c r="G34" s="2" t="s">
        <v>637</v>
      </c>
      <c r="H34" s="6" t="s">
        <v>512</v>
      </c>
      <c r="I34" s="12">
        <f t="shared" si="0"/>
        <v>22.476190476190478</v>
      </c>
      <c r="J34" s="13">
        <f t="shared" si="1"/>
        <v>56.19047619047619</v>
      </c>
      <c r="K34" s="7">
        <v>59</v>
      </c>
      <c r="L34" s="11">
        <v>0.59999999999999987</v>
      </c>
    </row>
    <row r="35" spans="2:12" x14ac:dyDescent="0.35">
      <c r="B35" s="2" t="s">
        <v>571</v>
      </c>
      <c r="C35" s="3">
        <v>100000338283</v>
      </c>
      <c r="D35" s="4">
        <v>111248</v>
      </c>
      <c r="E35" s="16">
        <v>4047443422361</v>
      </c>
      <c r="F35" s="2" t="s">
        <v>578</v>
      </c>
      <c r="G35" s="2" t="s">
        <v>637</v>
      </c>
      <c r="H35" s="6" t="s">
        <v>513</v>
      </c>
      <c r="I35" s="12">
        <f t="shared" si="0"/>
        <v>22.476190476190478</v>
      </c>
      <c r="J35" s="13">
        <f t="shared" si="1"/>
        <v>56.19047619047619</v>
      </c>
      <c r="K35" s="7">
        <v>59</v>
      </c>
      <c r="L35" s="11">
        <v>0.59999999999999987</v>
      </c>
    </row>
    <row r="36" spans="2:12" x14ac:dyDescent="0.35">
      <c r="B36" s="2" t="s">
        <v>571</v>
      </c>
      <c r="C36" s="3">
        <v>100000338284</v>
      </c>
      <c r="D36" s="4">
        <v>111250</v>
      </c>
      <c r="E36" s="16">
        <v>4047443422651</v>
      </c>
      <c r="F36" s="2" t="s">
        <v>578</v>
      </c>
      <c r="G36" s="2" t="s">
        <v>637</v>
      </c>
      <c r="H36" s="6" t="s">
        <v>514</v>
      </c>
      <c r="I36" s="12">
        <f t="shared" si="0"/>
        <v>87.238095238095241</v>
      </c>
      <c r="J36" s="13">
        <f t="shared" si="1"/>
        <v>218.09523809523807</v>
      </c>
      <c r="K36" s="7">
        <v>229</v>
      </c>
      <c r="L36" s="11">
        <v>0.6</v>
      </c>
    </row>
    <row r="37" spans="2:12" x14ac:dyDescent="0.35">
      <c r="B37" s="2" t="s">
        <v>571</v>
      </c>
      <c r="C37" s="3">
        <v>100000338285</v>
      </c>
      <c r="D37" s="4">
        <v>111319</v>
      </c>
      <c r="E37" s="16">
        <v>4047443192578</v>
      </c>
      <c r="F37" s="2" t="s">
        <v>578</v>
      </c>
      <c r="G37" s="2" t="s">
        <v>637</v>
      </c>
      <c r="H37" s="6" t="s">
        <v>515</v>
      </c>
      <c r="I37" s="12">
        <f t="shared" si="0"/>
        <v>26.285714285714285</v>
      </c>
      <c r="J37" s="13">
        <f t="shared" si="1"/>
        <v>65.714285714285708</v>
      </c>
      <c r="K37" s="7">
        <v>69</v>
      </c>
      <c r="L37" s="11">
        <v>0.6</v>
      </c>
    </row>
    <row r="38" spans="2:12" x14ac:dyDescent="0.35">
      <c r="B38" s="2" t="s">
        <v>571</v>
      </c>
      <c r="C38" s="3">
        <v>100000338286</v>
      </c>
      <c r="D38" s="4">
        <v>111357</v>
      </c>
      <c r="E38" s="16">
        <v>4047443181534</v>
      </c>
      <c r="F38" s="2" t="s">
        <v>578</v>
      </c>
      <c r="G38" s="2" t="s">
        <v>637</v>
      </c>
      <c r="H38" s="6" t="s">
        <v>516</v>
      </c>
      <c r="I38" s="12">
        <f t="shared" si="0"/>
        <v>18.666666666666668</v>
      </c>
      <c r="J38" s="13">
        <f t="shared" si="1"/>
        <v>46.666666666666664</v>
      </c>
      <c r="K38" s="7">
        <v>49</v>
      </c>
      <c r="L38" s="11">
        <v>0.6</v>
      </c>
    </row>
    <row r="39" spans="2:12" x14ac:dyDescent="0.35">
      <c r="B39" s="2" t="s">
        <v>571</v>
      </c>
      <c r="C39" s="3">
        <v>100000338287</v>
      </c>
      <c r="D39" s="4">
        <v>111362</v>
      </c>
      <c r="E39" s="16">
        <v>4047443199980</v>
      </c>
      <c r="F39" s="2" t="s">
        <v>578</v>
      </c>
      <c r="G39" s="2" t="s">
        <v>637</v>
      </c>
      <c r="H39" s="6" t="s">
        <v>517</v>
      </c>
      <c r="I39" s="12">
        <f t="shared" si="0"/>
        <v>49.142857142857139</v>
      </c>
      <c r="J39" s="13">
        <f t="shared" si="1"/>
        <v>122.85714285714285</v>
      </c>
      <c r="K39" s="7">
        <v>129</v>
      </c>
      <c r="L39" s="11">
        <v>0.6</v>
      </c>
    </row>
    <row r="40" spans="2:12" x14ac:dyDescent="0.35">
      <c r="B40" s="2" t="s">
        <v>571</v>
      </c>
      <c r="C40" s="3">
        <v>100000338288</v>
      </c>
      <c r="D40" s="4">
        <v>111391</v>
      </c>
      <c r="E40" s="16">
        <v>4047443313843</v>
      </c>
      <c r="F40" s="2" t="s">
        <v>578</v>
      </c>
      <c r="G40" s="2" t="s">
        <v>637</v>
      </c>
      <c r="H40" s="6" t="s">
        <v>518</v>
      </c>
      <c r="I40" s="12">
        <f t="shared" si="0"/>
        <v>9.5238095238095237</v>
      </c>
      <c r="J40" s="13">
        <f t="shared" si="1"/>
        <v>23.80952380952381</v>
      </c>
      <c r="K40" s="7">
        <v>25</v>
      </c>
      <c r="L40" s="11">
        <v>0.6</v>
      </c>
    </row>
    <row r="41" spans="2:12" x14ac:dyDescent="0.35">
      <c r="B41" s="2" t="s">
        <v>571</v>
      </c>
      <c r="C41" s="3">
        <v>100000338290</v>
      </c>
      <c r="D41" s="4">
        <v>111463</v>
      </c>
      <c r="E41" s="16">
        <v>4047443427151</v>
      </c>
      <c r="F41" s="2" t="s">
        <v>578</v>
      </c>
      <c r="G41" s="2" t="s">
        <v>637</v>
      </c>
      <c r="H41" s="6" t="s">
        <v>519</v>
      </c>
      <c r="I41" s="12">
        <f t="shared" si="0"/>
        <v>30.095238095238098</v>
      </c>
      <c r="J41" s="13">
        <f t="shared" si="1"/>
        <v>75.238095238095241</v>
      </c>
      <c r="K41" s="7">
        <v>79</v>
      </c>
      <c r="L41" s="11">
        <v>0.6</v>
      </c>
    </row>
    <row r="42" spans="2:12" x14ac:dyDescent="0.35">
      <c r="B42" s="2" t="s">
        <v>571</v>
      </c>
      <c r="C42" s="3">
        <v>100000338291</v>
      </c>
      <c r="D42" s="4">
        <v>111464</v>
      </c>
      <c r="E42" s="16">
        <v>4047443427137</v>
      </c>
      <c r="F42" s="2" t="s">
        <v>578</v>
      </c>
      <c r="G42" s="2" t="s">
        <v>637</v>
      </c>
      <c r="H42" s="6" t="s">
        <v>520</v>
      </c>
      <c r="I42" s="12">
        <f t="shared" si="0"/>
        <v>30.095238095238098</v>
      </c>
      <c r="J42" s="13">
        <f t="shared" si="1"/>
        <v>75.238095238095241</v>
      </c>
      <c r="K42" s="7">
        <v>79</v>
      </c>
      <c r="L42" s="11">
        <v>0.6</v>
      </c>
    </row>
    <row r="43" spans="2:12" x14ac:dyDescent="0.35">
      <c r="B43" s="2" t="s">
        <v>571</v>
      </c>
      <c r="C43" s="3">
        <v>100000338292</v>
      </c>
      <c r="D43" s="4">
        <v>111465</v>
      </c>
      <c r="E43" s="16">
        <v>4047443427120</v>
      </c>
      <c r="F43" s="2" t="s">
        <v>578</v>
      </c>
      <c r="G43" s="2" t="s">
        <v>637</v>
      </c>
      <c r="H43" s="6" t="s">
        <v>521</v>
      </c>
      <c r="I43" s="12">
        <f t="shared" si="0"/>
        <v>18.666666666666668</v>
      </c>
      <c r="J43" s="13">
        <f t="shared" si="1"/>
        <v>46.666666666666664</v>
      </c>
      <c r="K43" s="7">
        <v>49</v>
      </c>
      <c r="L43" s="11">
        <v>0.6</v>
      </c>
    </row>
    <row r="44" spans="2:12" x14ac:dyDescent="0.35">
      <c r="B44" s="2" t="s">
        <v>571</v>
      </c>
      <c r="C44" s="3">
        <v>100000338819</v>
      </c>
      <c r="D44" s="4">
        <v>111467</v>
      </c>
      <c r="E44" s="16">
        <v>4047443425553</v>
      </c>
      <c r="F44" s="2" t="s">
        <v>578</v>
      </c>
      <c r="G44" s="2" t="s">
        <v>637</v>
      </c>
      <c r="H44" s="6" t="s">
        <v>522</v>
      </c>
      <c r="I44" s="12">
        <f t="shared" si="0"/>
        <v>30.095238095238098</v>
      </c>
      <c r="J44" s="13">
        <f t="shared" si="1"/>
        <v>75.238095238095241</v>
      </c>
      <c r="K44" s="7">
        <v>79</v>
      </c>
      <c r="L44" s="11">
        <v>0.6</v>
      </c>
    </row>
    <row r="45" spans="2:12" x14ac:dyDescent="0.35">
      <c r="B45" s="2" t="s">
        <v>571</v>
      </c>
      <c r="C45" s="3">
        <v>100000338820</v>
      </c>
      <c r="D45" s="4">
        <v>111468</v>
      </c>
      <c r="E45" s="16">
        <v>4047443423931</v>
      </c>
      <c r="F45" s="2" t="s">
        <v>578</v>
      </c>
      <c r="G45" s="2" t="s">
        <v>637</v>
      </c>
      <c r="H45" s="6" t="s">
        <v>523</v>
      </c>
      <c r="I45" s="12">
        <f t="shared" si="0"/>
        <v>56.761904761904759</v>
      </c>
      <c r="J45" s="13">
        <f t="shared" si="1"/>
        <v>141.9047619047619</v>
      </c>
      <c r="K45" s="7">
        <v>149</v>
      </c>
      <c r="L45" s="11">
        <v>0.6</v>
      </c>
    </row>
    <row r="46" spans="2:12" x14ac:dyDescent="0.35">
      <c r="B46" s="2" t="s">
        <v>571</v>
      </c>
      <c r="C46" s="3">
        <v>100000338821</v>
      </c>
      <c r="D46" s="4">
        <v>111470</v>
      </c>
      <c r="E46" s="16">
        <v>4047443421517</v>
      </c>
      <c r="F46" s="2" t="s">
        <v>578</v>
      </c>
      <c r="G46" s="2" t="s">
        <v>637</v>
      </c>
      <c r="H46" s="6" t="s">
        <v>524</v>
      </c>
      <c r="I46" s="12">
        <f t="shared" si="0"/>
        <v>26.285714285714285</v>
      </c>
      <c r="J46" s="13">
        <f t="shared" si="1"/>
        <v>65.714285714285708</v>
      </c>
      <c r="K46" s="7">
        <v>69</v>
      </c>
      <c r="L46" s="11">
        <v>0.6</v>
      </c>
    </row>
    <row r="47" spans="2:12" x14ac:dyDescent="0.35">
      <c r="B47" s="2" t="s">
        <v>571</v>
      </c>
      <c r="C47" s="3">
        <v>100000338822</v>
      </c>
      <c r="D47" s="4">
        <v>111472</v>
      </c>
      <c r="E47" s="16">
        <v>4047443417039</v>
      </c>
      <c r="F47" s="2" t="s">
        <v>578</v>
      </c>
      <c r="G47" s="2" t="s">
        <v>637</v>
      </c>
      <c r="H47" s="6" t="s">
        <v>525</v>
      </c>
      <c r="I47" s="12">
        <f t="shared" si="0"/>
        <v>5.7142857142857144</v>
      </c>
      <c r="J47" s="13">
        <f t="shared" si="1"/>
        <v>14.285714285714285</v>
      </c>
      <c r="K47" s="7">
        <v>15</v>
      </c>
      <c r="L47" s="11">
        <v>0.59999999999999987</v>
      </c>
    </row>
    <row r="48" spans="2:12" x14ac:dyDescent="0.35">
      <c r="B48" s="2" t="s">
        <v>571</v>
      </c>
      <c r="C48" s="3">
        <v>100000338823</v>
      </c>
      <c r="D48" s="4">
        <v>111474</v>
      </c>
      <c r="E48" s="16">
        <v>4047443406378</v>
      </c>
      <c r="F48" s="2" t="s">
        <v>578</v>
      </c>
      <c r="G48" s="2" t="s">
        <v>637</v>
      </c>
      <c r="H48" s="6" t="s">
        <v>526</v>
      </c>
      <c r="I48" s="12">
        <f t="shared" si="0"/>
        <v>45.333333333333336</v>
      </c>
      <c r="J48" s="13">
        <f t="shared" si="1"/>
        <v>113.33333333333333</v>
      </c>
      <c r="K48" s="7">
        <v>119</v>
      </c>
      <c r="L48" s="11">
        <v>0.6</v>
      </c>
    </row>
    <row r="49" spans="2:12" x14ac:dyDescent="0.35">
      <c r="B49" s="2" t="s">
        <v>571</v>
      </c>
      <c r="C49" s="3">
        <v>100000338824</v>
      </c>
      <c r="D49" s="4">
        <v>111477</v>
      </c>
      <c r="E49" s="16">
        <v>4047443393746</v>
      </c>
      <c r="F49" s="2" t="s">
        <v>578</v>
      </c>
      <c r="G49" s="2" t="s">
        <v>637</v>
      </c>
      <c r="H49" s="6" t="s">
        <v>527</v>
      </c>
      <c r="I49" s="12">
        <f t="shared" si="0"/>
        <v>52.952380952380956</v>
      </c>
      <c r="J49" s="13">
        <f t="shared" si="1"/>
        <v>132.38095238095238</v>
      </c>
      <c r="K49" s="7">
        <v>139</v>
      </c>
      <c r="L49" s="11">
        <v>0.59999999999999987</v>
      </c>
    </row>
    <row r="50" spans="2:12" x14ac:dyDescent="0.35">
      <c r="B50" s="2" t="s">
        <v>571</v>
      </c>
      <c r="C50" s="3">
        <v>100000338825</v>
      </c>
      <c r="D50" s="4">
        <v>111486</v>
      </c>
      <c r="E50" s="16">
        <v>4047443364425</v>
      </c>
      <c r="F50" s="2" t="s">
        <v>578</v>
      </c>
      <c r="G50" s="2" t="s">
        <v>637</v>
      </c>
      <c r="H50" s="6" t="s">
        <v>528</v>
      </c>
      <c r="I50" s="12">
        <f t="shared" si="0"/>
        <v>37.714285714285715</v>
      </c>
      <c r="J50" s="13">
        <f t="shared" si="1"/>
        <v>94.285714285714278</v>
      </c>
      <c r="K50" s="7">
        <v>99</v>
      </c>
      <c r="L50" s="11">
        <v>0.6</v>
      </c>
    </row>
    <row r="51" spans="2:12" x14ac:dyDescent="0.35">
      <c r="B51" s="2" t="s">
        <v>571</v>
      </c>
      <c r="C51" s="3">
        <v>100000338826</v>
      </c>
      <c r="D51" s="4">
        <v>111491</v>
      </c>
      <c r="E51" s="16">
        <v>4047443359872</v>
      </c>
      <c r="F51" s="2" t="s">
        <v>578</v>
      </c>
      <c r="G51" s="2" t="s">
        <v>637</v>
      </c>
      <c r="H51" s="6" t="s">
        <v>529</v>
      </c>
      <c r="I51" s="12">
        <f t="shared" si="0"/>
        <v>9.5238095238095237</v>
      </c>
      <c r="J51" s="13">
        <f t="shared" si="1"/>
        <v>23.80952380952381</v>
      </c>
      <c r="K51" s="7">
        <v>25</v>
      </c>
      <c r="L51" s="11">
        <v>0.6</v>
      </c>
    </row>
    <row r="52" spans="2:12" x14ac:dyDescent="0.35">
      <c r="B52" s="2" t="s">
        <v>571</v>
      </c>
      <c r="C52" s="3">
        <v>100000338827</v>
      </c>
      <c r="D52" s="4">
        <v>111528</v>
      </c>
      <c r="E52" s="16">
        <v>4047443246332</v>
      </c>
      <c r="F52" s="2" t="s">
        <v>578</v>
      </c>
      <c r="G52" s="2" t="s">
        <v>637</v>
      </c>
      <c r="H52" s="6" t="s">
        <v>530</v>
      </c>
      <c r="I52" s="12">
        <f t="shared" si="0"/>
        <v>13.333333333333332</v>
      </c>
      <c r="J52" s="13">
        <f t="shared" si="1"/>
        <v>33.333333333333329</v>
      </c>
      <c r="K52" s="7">
        <v>35</v>
      </c>
      <c r="L52" s="11">
        <v>0.6</v>
      </c>
    </row>
    <row r="53" spans="2:12" x14ac:dyDescent="0.35">
      <c r="B53" s="2" t="s">
        <v>571</v>
      </c>
      <c r="C53" s="3">
        <v>100000338828</v>
      </c>
      <c r="D53" s="4">
        <v>111550</v>
      </c>
      <c r="E53" s="16">
        <v>4047443308566</v>
      </c>
      <c r="F53" s="2" t="s">
        <v>578</v>
      </c>
      <c r="G53" s="2" t="s">
        <v>637</v>
      </c>
      <c r="H53" s="6" t="s">
        <v>531</v>
      </c>
      <c r="I53" s="12">
        <f t="shared" si="0"/>
        <v>26.285714285714285</v>
      </c>
      <c r="J53" s="13">
        <f t="shared" si="1"/>
        <v>65.714285714285708</v>
      </c>
      <c r="K53" s="7">
        <v>69</v>
      </c>
      <c r="L53" s="11">
        <v>0.6</v>
      </c>
    </row>
    <row r="54" spans="2:12" x14ac:dyDescent="0.35">
      <c r="B54" s="2" t="s">
        <v>571</v>
      </c>
      <c r="C54" s="3">
        <v>100000338829</v>
      </c>
      <c r="D54" s="4">
        <v>111750</v>
      </c>
      <c r="E54" s="16">
        <v>4047443384416</v>
      </c>
      <c r="F54" s="2" t="s">
        <v>578</v>
      </c>
      <c r="G54" s="2" t="s">
        <v>637</v>
      </c>
      <c r="H54" s="6" t="s">
        <v>532</v>
      </c>
      <c r="I54" s="12">
        <f t="shared" si="0"/>
        <v>14.857142857142856</v>
      </c>
      <c r="J54" s="13">
        <f t="shared" si="1"/>
        <v>37.142857142857139</v>
      </c>
      <c r="K54" s="7">
        <v>39</v>
      </c>
      <c r="L54" s="11">
        <v>0.60000000000000009</v>
      </c>
    </row>
    <row r="55" spans="2:12" x14ac:dyDescent="0.35">
      <c r="B55" s="2" t="s">
        <v>571</v>
      </c>
      <c r="C55" s="3">
        <v>100000338830</v>
      </c>
      <c r="D55" s="4">
        <v>111832</v>
      </c>
      <c r="E55" s="16">
        <v>4047443386793</v>
      </c>
      <c r="F55" s="2" t="s">
        <v>578</v>
      </c>
      <c r="G55" s="2" t="s">
        <v>637</v>
      </c>
      <c r="H55" s="6" t="s">
        <v>533</v>
      </c>
      <c r="I55" s="12">
        <f t="shared" si="0"/>
        <v>33.904761904761905</v>
      </c>
      <c r="J55" s="13">
        <f t="shared" si="1"/>
        <v>84.761904761904759</v>
      </c>
      <c r="K55" s="7">
        <v>89</v>
      </c>
      <c r="L55" s="11">
        <v>0.6</v>
      </c>
    </row>
    <row r="56" spans="2:12" x14ac:dyDescent="0.35">
      <c r="B56" s="2" t="s">
        <v>571</v>
      </c>
      <c r="C56" s="3">
        <v>100000338831</v>
      </c>
      <c r="D56" s="4">
        <v>111898</v>
      </c>
      <c r="E56" s="16">
        <v>4047443389879</v>
      </c>
      <c r="F56" s="2" t="s">
        <v>578</v>
      </c>
      <c r="G56" s="2" t="s">
        <v>637</v>
      </c>
      <c r="H56" s="6" t="s">
        <v>534</v>
      </c>
      <c r="I56" s="12">
        <f t="shared" si="0"/>
        <v>22.476190476190478</v>
      </c>
      <c r="J56" s="13">
        <f t="shared" si="1"/>
        <v>56.19047619047619</v>
      </c>
      <c r="K56" s="7">
        <v>59</v>
      </c>
      <c r="L56" s="11">
        <v>0.59999999999999987</v>
      </c>
    </row>
    <row r="57" spans="2:12" x14ac:dyDescent="0.35">
      <c r="B57" s="2" t="s">
        <v>571</v>
      </c>
      <c r="C57" s="3">
        <v>100000338832</v>
      </c>
      <c r="D57" s="4">
        <v>113956</v>
      </c>
      <c r="E57" s="16">
        <v>4047443177018</v>
      </c>
      <c r="F57" s="2" t="s">
        <v>578</v>
      </c>
      <c r="G57" s="2" t="s">
        <v>637</v>
      </c>
      <c r="H57" s="6" t="s">
        <v>535</v>
      </c>
      <c r="I57" s="12">
        <f t="shared" si="0"/>
        <v>37.714285714285715</v>
      </c>
      <c r="J57" s="13">
        <f t="shared" si="1"/>
        <v>94.285714285714278</v>
      </c>
      <c r="K57" s="7">
        <v>99</v>
      </c>
      <c r="L57" s="11">
        <v>0.6</v>
      </c>
    </row>
    <row r="58" spans="2:12" x14ac:dyDescent="0.35">
      <c r="B58" s="2" t="s">
        <v>571</v>
      </c>
      <c r="C58" s="3">
        <v>100000338833</v>
      </c>
      <c r="D58" s="4">
        <v>3110722</v>
      </c>
      <c r="E58" s="16">
        <v>4047443033215</v>
      </c>
      <c r="F58" s="2" t="s">
        <v>578</v>
      </c>
      <c r="G58" s="2" t="s">
        <v>637</v>
      </c>
      <c r="H58" s="6" t="s">
        <v>536</v>
      </c>
      <c r="I58" s="12">
        <f t="shared" si="0"/>
        <v>22.476190476190478</v>
      </c>
      <c r="J58" s="13">
        <f t="shared" si="1"/>
        <v>56.19047619047619</v>
      </c>
      <c r="K58" s="7">
        <v>59</v>
      </c>
      <c r="L58" s="11">
        <v>0.59999999999999987</v>
      </c>
    </row>
    <row r="59" spans="2:12" x14ac:dyDescent="0.35">
      <c r="B59" s="2" t="s">
        <v>571</v>
      </c>
      <c r="C59" s="3">
        <v>100000338834</v>
      </c>
      <c r="D59" s="4">
        <v>3110779</v>
      </c>
      <c r="E59" s="16">
        <v>4047443033055</v>
      </c>
      <c r="F59" s="2" t="s">
        <v>578</v>
      </c>
      <c r="G59" s="2" t="s">
        <v>637</v>
      </c>
      <c r="H59" s="6" t="s">
        <v>537</v>
      </c>
      <c r="I59" s="12">
        <f t="shared" si="0"/>
        <v>22.476190476190478</v>
      </c>
      <c r="J59" s="13">
        <f t="shared" si="1"/>
        <v>56.19047619047619</v>
      </c>
      <c r="K59" s="7">
        <v>59</v>
      </c>
      <c r="L59" s="11">
        <v>0.59999999999999987</v>
      </c>
    </row>
    <row r="60" spans="2:12" x14ac:dyDescent="0.35">
      <c r="B60" s="2" t="s">
        <v>571</v>
      </c>
      <c r="C60" s="3">
        <v>100000338835</v>
      </c>
      <c r="D60" s="4">
        <v>111735</v>
      </c>
      <c r="E60" s="16">
        <v>4047443352576</v>
      </c>
      <c r="F60" s="2" t="s">
        <v>578</v>
      </c>
      <c r="G60" s="2" t="s">
        <v>637</v>
      </c>
      <c r="H60" s="6" t="s">
        <v>538</v>
      </c>
      <c r="I60" s="12">
        <f t="shared" si="0"/>
        <v>64.38095238095238</v>
      </c>
      <c r="J60" s="13">
        <f t="shared" si="1"/>
        <v>160.95238095238093</v>
      </c>
      <c r="K60" s="7">
        <v>169</v>
      </c>
      <c r="L60" s="11">
        <v>0.6</v>
      </c>
    </row>
    <row r="61" spans="2:12" x14ac:dyDescent="0.35">
      <c r="B61" s="2" t="s">
        <v>571</v>
      </c>
      <c r="C61" s="3">
        <v>100000339372</v>
      </c>
      <c r="D61" s="4" t="s">
        <v>624</v>
      </c>
      <c r="E61" s="16">
        <v>4007249953216</v>
      </c>
      <c r="F61" s="2" t="s">
        <v>578</v>
      </c>
      <c r="G61" s="2" t="s">
        <v>637</v>
      </c>
      <c r="H61" s="6" t="s">
        <v>539</v>
      </c>
      <c r="I61" s="12">
        <f t="shared" si="0"/>
        <v>30.095238095238098</v>
      </c>
      <c r="J61" s="13">
        <f t="shared" si="1"/>
        <v>75.238095238095241</v>
      </c>
      <c r="K61" s="7">
        <v>79</v>
      </c>
      <c r="L61" s="11">
        <v>0.6</v>
      </c>
    </row>
    <row r="62" spans="2:12" x14ac:dyDescent="0.35">
      <c r="B62" s="2" t="s">
        <v>571</v>
      </c>
      <c r="C62" s="3">
        <v>100000339373</v>
      </c>
      <c r="D62" s="4" t="s">
        <v>625</v>
      </c>
      <c r="E62" s="16">
        <v>4047443407580</v>
      </c>
      <c r="F62" s="2" t="s">
        <v>578</v>
      </c>
      <c r="G62" s="2" t="s">
        <v>637</v>
      </c>
      <c r="H62" s="6" t="s">
        <v>540</v>
      </c>
      <c r="I62" s="12">
        <f t="shared" si="0"/>
        <v>18.666666666666668</v>
      </c>
      <c r="J62" s="13">
        <f t="shared" si="1"/>
        <v>46.666666666666664</v>
      </c>
      <c r="K62" s="7">
        <v>49</v>
      </c>
      <c r="L62" s="11">
        <v>0.6</v>
      </c>
    </row>
    <row r="63" spans="2:12" x14ac:dyDescent="0.35">
      <c r="B63" s="2" t="s">
        <v>571</v>
      </c>
      <c r="C63" s="3">
        <v>100000339374</v>
      </c>
      <c r="D63" s="4" t="s">
        <v>626</v>
      </c>
      <c r="E63" s="16">
        <v>4047443408549</v>
      </c>
      <c r="F63" s="2" t="s">
        <v>578</v>
      </c>
      <c r="G63" s="2" t="s">
        <v>637</v>
      </c>
      <c r="H63" s="6" t="s">
        <v>541</v>
      </c>
      <c r="I63" s="12">
        <f t="shared" si="0"/>
        <v>30.095238095238098</v>
      </c>
      <c r="J63" s="13">
        <f t="shared" si="1"/>
        <v>75.238095238095241</v>
      </c>
      <c r="K63" s="7">
        <v>79</v>
      </c>
      <c r="L63" s="11">
        <v>0.6</v>
      </c>
    </row>
    <row r="64" spans="2:12" x14ac:dyDescent="0.35">
      <c r="B64" s="2" t="s">
        <v>571</v>
      </c>
      <c r="C64" s="3">
        <v>100000339375</v>
      </c>
      <c r="D64" s="4" t="s">
        <v>627</v>
      </c>
      <c r="E64" s="16">
        <v>4047443449863</v>
      </c>
      <c r="F64" s="2" t="s">
        <v>578</v>
      </c>
      <c r="G64" s="2" t="s">
        <v>637</v>
      </c>
      <c r="H64" s="6" t="s">
        <v>542</v>
      </c>
      <c r="I64" s="12">
        <f t="shared" si="0"/>
        <v>94.857142857142861</v>
      </c>
      <c r="J64" s="13">
        <f t="shared" si="1"/>
        <v>237.14285714285714</v>
      </c>
      <c r="K64" s="7">
        <v>249</v>
      </c>
      <c r="L64" s="11">
        <v>0.6</v>
      </c>
    </row>
    <row r="65" spans="2:12" x14ac:dyDescent="0.35">
      <c r="B65" s="2" t="s">
        <v>571</v>
      </c>
      <c r="C65" s="3">
        <v>100000339376</v>
      </c>
      <c r="D65" s="4" t="s">
        <v>628</v>
      </c>
      <c r="E65" s="16">
        <v>4047443425799</v>
      </c>
      <c r="F65" s="2" t="s">
        <v>578</v>
      </c>
      <c r="G65" s="2" t="s">
        <v>637</v>
      </c>
      <c r="H65" s="6" t="s">
        <v>543</v>
      </c>
      <c r="I65" s="12">
        <f t="shared" si="0"/>
        <v>152</v>
      </c>
      <c r="J65" s="13">
        <f t="shared" si="1"/>
        <v>380</v>
      </c>
      <c r="K65" s="7">
        <v>399</v>
      </c>
      <c r="L65" s="11">
        <v>0.6</v>
      </c>
    </row>
    <row r="66" spans="2:12" x14ac:dyDescent="0.35">
      <c r="B66" s="2" t="s">
        <v>571</v>
      </c>
      <c r="C66" s="3">
        <v>100000339378</v>
      </c>
      <c r="D66" s="4" t="s">
        <v>629</v>
      </c>
      <c r="E66" s="16">
        <v>4047443300140</v>
      </c>
      <c r="F66" s="2" t="s">
        <v>578</v>
      </c>
      <c r="G66" s="2" t="s">
        <v>637</v>
      </c>
      <c r="H66" s="6" t="s">
        <v>544</v>
      </c>
      <c r="I66" s="12">
        <f t="shared" ref="I66:I69" si="2">0.4*J66</f>
        <v>22.476190476190478</v>
      </c>
      <c r="J66" s="13">
        <f t="shared" ref="J66:J69" si="3">K66/(1+5%)</f>
        <v>56.19047619047619</v>
      </c>
      <c r="K66" s="7">
        <v>59</v>
      </c>
      <c r="L66" s="11">
        <v>0.59999999999999987</v>
      </c>
    </row>
    <row r="67" spans="2:12" x14ac:dyDescent="0.35">
      <c r="B67" s="2" t="s">
        <v>571</v>
      </c>
      <c r="C67" s="3">
        <v>100000339379</v>
      </c>
      <c r="D67" s="4" t="s">
        <v>630</v>
      </c>
      <c r="E67" s="16">
        <v>4047443371300</v>
      </c>
      <c r="F67" s="2" t="s">
        <v>578</v>
      </c>
      <c r="G67" s="2" t="s">
        <v>637</v>
      </c>
      <c r="H67" s="6" t="s">
        <v>545</v>
      </c>
      <c r="I67" s="12">
        <f t="shared" si="2"/>
        <v>75.80952380952381</v>
      </c>
      <c r="J67" s="13">
        <f t="shared" si="3"/>
        <v>189.52380952380952</v>
      </c>
      <c r="K67" s="7">
        <v>199</v>
      </c>
      <c r="L67" s="11">
        <v>0.6</v>
      </c>
    </row>
    <row r="68" spans="2:12" x14ac:dyDescent="0.35">
      <c r="B68" s="2" t="s">
        <v>571</v>
      </c>
      <c r="C68" s="3">
        <v>100000339380</v>
      </c>
      <c r="D68" s="4">
        <v>110871</v>
      </c>
      <c r="E68" s="16">
        <v>4047443005502</v>
      </c>
      <c r="F68" s="2" t="s">
        <v>578</v>
      </c>
      <c r="G68" s="2" t="s">
        <v>637</v>
      </c>
      <c r="H68" s="6" t="s">
        <v>546</v>
      </c>
      <c r="I68" s="12">
        <f t="shared" si="2"/>
        <v>14.857142857142856</v>
      </c>
      <c r="J68" s="13">
        <f t="shared" si="3"/>
        <v>37.142857142857139</v>
      </c>
      <c r="K68" s="7">
        <v>39</v>
      </c>
      <c r="L68" s="11">
        <v>0.60000000000000009</v>
      </c>
    </row>
    <row r="69" spans="2:12" x14ac:dyDescent="0.35">
      <c r="B69" s="2" t="s">
        <v>571</v>
      </c>
      <c r="C69" s="3">
        <v>100000339381</v>
      </c>
      <c r="D69" s="4">
        <v>111480</v>
      </c>
      <c r="E69" s="16">
        <v>4047443385192</v>
      </c>
      <c r="F69" s="2" t="s">
        <v>578</v>
      </c>
      <c r="G69" s="2" t="s">
        <v>637</v>
      </c>
      <c r="H69" s="6" t="s">
        <v>547</v>
      </c>
      <c r="I69" s="12">
        <f t="shared" si="2"/>
        <v>14.857142857142856</v>
      </c>
      <c r="J69" s="13">
        <f t="shared" si="3"/>
        <v>37.142857142857139</v>
      </c>
      <c r="K69" s="7">
        <v>39</v>
      </c>
      <c r="L69" s="11">
        <v>0.60000000000000009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HAMA</vt:lpstr>
      <vt:lpstr>RISE</vt:lpstr>
      <vt:lpstr>AVINITY</vt:lpstr>
      <vt:lpstr>URAGE</vt:lpstr>
      <vt:lpstr>XAVAX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Gopakumar Gokul</dc:creator>
  <cp:lastModifiedBy>Ramya Mercy Rajan</cp:lastModifiedBy>
  <dcterms:created xsi:type="dcterms:W3CDTF">2026-01-16T11:35:25Z</dcterms:created>
  <dcterms:modified xsi:type="dcterms:W3CDTF">2026-02-05T07:13:01Z</dcterms:modified>
</cp:coreProperties>
</file>